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fstvn01\Data\10_Parts Quality Control(部品QC部)\001.IQC1\thu-muc-sao-luu-dinh-ky\tai-lieu-dao-tao-word-excel-ppt\"/>
    </mc:Choice>
  </mc:AlternateContent>
  <xr:revisionPtr revIDLastSave="0" documentId="13_ncr:1_{69A71FBE-60F9-48BD-919F-30FC9DB7D8B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data" sheetId="2" r:id="rId2"/>
    <sheet name="vi-du-pivot" sheetId="3" r:id="rId3"/>
  </sheets>
  <definedNames>
    <definedName name="_xlnm._FilterDatabase" localSheetId="0" hidden="1">Sheet1!$A$56:$E$61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1" l="1"/>
</calcChain>
</file>

<file path=xl/sharedStrings.xml><?xml version="1.0" encoding="utf-8"?>
<sst xmlns="http://schemas.openxmlformats.org/spreadsheetml/2006/main" count="1176" uniqueCount="429">
  <si>
    <t>Bài 1: Biểu thức Excel</t>
  </si>
  <si>
    <t>Thời gian KTNQ</t>
  </si>
  <si>
    <t>Thời gian KTKT</t>
  </si>
  <si>
    <t>Thời gian kiểm tra</t>
  </si>
  <si>
    <t>Thời gian lấy hàng</t>
  </si>
  <si>
    <t>Mã linh kiện</t>
  </si>
  <si>
    <t>302RV24030</t>
  </si>
  <si>
    <t>3V2HN12450</t>
  </si>
  <si>
    <t>302l714010</t>
  </si>
  <si>
    <t>302NT14030</t>
  </si>
  <si>
    <t>302YJ28140</t>
  </si>
  <si>
    <t>Bài 2: Các hàm cơ bản trong excel</t>
  </si>
  <si>
    <t>VN240014</t>
  </si>
  <si>
    <t>VN210024</t>
  </si>
  <si>
    <t>Điểm thi</t>
  </si>
  <si>
    <t>Đánh giá</t>
  </si>
  <si>
    <t>Tiêu chuẩn đánh giá: đạt 80 điểm trở lên là đạt, ngược lại là không đạt</t>
  </si>
  <si>
    <t>Tiêu chuẩn đánh giá: Đạt từ 70 điểm trở lên là Khá, 80 điểm trở lên là giỏi, còn lại là trung bình</t>
  </si>
  <si>
    <t>Điểm toán</t>
  </si>
  <si>
    <t>Điểm văn</t>
  </si>
  <si>
    <t>Mã linh kiện-REV</t>
  </si>
  <si>
    <t>302YJ28140-02</t>
  </si>
  <si>
    <t>3V2XC02020-11</t>
  </si>
  <si>
    <t xml:space="preserve">     302YJ28140    </t>
  </si>
  <si>
    <t>Mã linh kiện tải về từ SAP</t>
  </si>
  <si>
    <t>Số ký tự</t>
  </si>
  <si>
    <t>2.5 Hàm Right</t>
  </si>
  <si>
    <t>2.4. Hàm Trim</t>
  </si>
  <si>
    <t>2.3. Hàm Len</t>
  </si>
  <si>
    <t>2.2 Hàm Left</t>
  </si>
  <si>
    <t>2.1. Hàm If</t>
  </si>
  <si>
    <t>REV</t>
  </si>
  <si>
    <t>Mã linh kiện-REV-vendorcode</t>
  </si>
  <si>
    <t>302YJ28140-02-0250001348</t>
  </si>
  <si>
    <t>3V2XC02020-11-0250001478</t>
  </si>
  <si>
    <t>2.6 Hàm Mid</t>
  </si>
  <si>
    <t>Giá trị max</t>
  </si>
  <si>
    <t>Giá trị min</t>
  </si>
  <si>
    <t>Giá trị trung bình</t>
  </si>
  <si>
    <t>2.7 Hàm Max-Min-AVERAGE</t>
  </si>
  <si>
    <t>Chỉ thị</t>
  </si>
  <si>
    <t>Mã LK</t>
  </si>
  <si>
    <t>Thời gian KT</t>
  </si>
  <si>
    <t>302ND52900</t>
  </si>
  <si>
    <t>302ND52910</t>
  </si>
  <si>
    <t>302ND52920</t>
  </si>
  <si>
    <t>302XC52361</t>
  </si>
  <si>
    <t>Tên nhân viên</t>
  </si>
  <si>
    <t>A</t>
  </si>
  <si>
    <t>B</t>
  </si>
  <si>
    <t>C</t>
  </si>
  <si>
    <t>Thời gian kiểm tra của A:</t>
  </si>
  <si>
    <t>2.12 Hàm Sumifs</t>
  </si>
  <si>
    <t>Ngày kiểm tra</t>
  </si>
  <si>
    <t>Thời gian kiểm tra của A trong ngày 12:</t>
  </si>
  <si>
    <t>2.11 Hàm Sumif</t>
  </si>
  <si>
    <t>2.10 Hàm Sum</t>
  </si>
  <si>
    <t>Số ô dữ liệu cột E</t>
  </si>
  <si>
    <t>Số ô dữ liệu cột B</t>
  </si>
  <si>
    <t>Số ô không dữ liệu cột B</t>
  </si>
  <si>
    <t>2.12 Hàm count - countA - countBlank</t>
  </si>
  <si>
    <t>Số hàng tên nhân viên A</t>
  </si>
  <si>
    <t>( tính điều kiện ở cả 2 môn )</t>
  </si>
  <si>
    <t>(điều kiện lồng điều kiện)</t>
  </si>
  <si>
    <t>Chọn đi thi HSG</t>
  </si>
  <si>
    <t>OR</t>
  </si>
  <si>
    <t>AND</t>
  </si>
  <si>
    <t>tổng thời gian kiểm tra của bạn a</t>
  </si>
  <si>
    <t>tổng thời gian kiểm tra của bạn b</t>
  </si>
  <si>
    <t>tổng thời gian kiểm tra của bạn c</t>
  </si>
  <si>
    <t>sdsd</t>
  </si>
  <si>
    <t>Nguyễn Văn A</t>
  </si>
  <si>
    <t>Nhân viên</t>
  </si>
  <si>
    <t>Nguyễn Thị B</t>
  </si>
  <si>
    <t>D</t>
  </si>
  <si>
    <t>E</t>
  </si>
  <si>
    <t>2026/06/09                                                                                                                                                         Dynamic List Display                                                                                                                                                                1</t>
  </si>
  <si>
    <t xml:space="preserve">  Insp. Lot</t>
  </si>
  <si>
    <t>Material</t>
  </si>
  <si>
    <t>RevLev</t>
  </si>
  <si>
    <t>Obj short text</t>
  </si>
  <si>
    <t>Vendor</t>
  </si>
  <si>
    <t xml:space="preserve">    Lot Qty</t>
  </si>
  <si>
    <t>SLoc</t>
  </si>
  <si>
    <t>Start date</t>
  </si>
  <si>
    <t>Time</t>
  </si>
  <si>
    <t>System Status</t>
  </si>
  <si>
    <t>Stage</t>
  </si>
  <si>
    <t>Code</t>
  </si>
  <si>
    <t>Code date</t>
  </si>
  <si>
    <t>3V2XC14370</t>
  </si>
  <si>
    <t>SEAL SHUTTER CASS</t>
  </si>
  <si>
    <t>LEBAO TECHNOLOGY (VN) COMPANY LIMIT</t>
  </si>
  <si>
    <t>30C0</t>
  </si>
  <si>
    <t>UD   ICCO SPCO PRII STUP</t>
  </si>
  <si>
    <t>OK1</t>
  </si>
  <si>
    <t>3VC2G00030</t>
  </si>
  <si>
    <t>FRAME FUSER ASSY</t>
  </si>
  <si>
    <t>EVA HP PRECISION INDUSTRIAL CO.LTD</t>
  </si>
  <si>
    <t>30C1</t>
  </si>
  <si>
    <t>30C0D14330</t>
  </si>
  <si>
    <t>SEAL SHUTTER DLP</t>
  </si>
  <si>
    <t>OK13</t>
  </si>
  <si>
    <t>3V3TC02160</t>
  </si>
  <si>
    <t>SPONGE MAT</t>
  </si>
  <si>
    <t>3VC0D00100</t>
  </si>
  <si>
    <t>CONVEYING ASSY</t>
  </si>
  <si>
    <t>KYOWA PLASTIC INDUSTRIAL(VN)CO.,LTD</t>
  </si>
  <si>
    <t>3V2XC14490</t>
  </si>
  <si>
    <t>SEAL SIDE F B</t>
  </si>
  <si>
    <t>OK10</t>
  </si>
  <si>
    <t>302YJ46020</t>
  </si>
  <si>
    <t>CONN.CORD ASSY S04224 MAIN-ID SENSOR(R)</t>
  </si>
  <si>
    <t>ADCEL INDUSTRIES (VIETNAM) CO., LTD</t>
  </si>
  <si>
    <t>3V2Z401020</t>
  </si>
  <si>
    <t>PWB MAIN ASSY WITH SOFTWARE US</t>
  </si>
  <si>
    <t>KDTHK for VN SUBCONTRACTOR</t>
  </si>
  <si>
    <t>3VC2G01061</t>
  </si>
  <si>
    <t>PWB MAIN ASSY WITH SOFTWARE AX</t>
  </si>
  <si>
    <t>3VC2L01010</t>
  </si>
  <si>
    <t>PWB MAIN ASSY WITH SOFTWARE E</t>
  </si>
  <si>
    <t>3V3WN01010</t>
  </si>
  <si>
    <t>PWB ASSY FAX IF WITH SOFTWARE (J)</t>
  </si>
  <si>
    <t>3VC0D51C10</t>
  </si>
  <si>
    <t>CASE INNER -V TK-5455HC KR</t>
  </si>
  <si>
    <t>DYNAPAC (HAIPHONG) CO.,LTD</t>
  </si>
  <si>
    <t>30B3</t>
  </si>
  <si>
    <t>3VC0V01040</t>
  </si>
  <si>
    <t>PWB H PANEL KEY-R ASSY</t>
  </si>
  <si>
    <t>3VC0D51870</t>
  </si>
  <si>
    <t>CASE INNER -V PK-5025M UT</t>
  </si>
  <si>
    <t>303V017200</t>
  </si>
  <si>
    <t>MAGNET TOP</t>
  </si>
  <si>
    <t>KDTHK FOR KDTVN</t>
  </si>
  <si>
    <t>30B0</t>
  </si>
  <si>
    <t>303RW24090</t>
  </si>
  <si>
    <t>GUIDE WHEEL DRUM</t>
  </si>
  <si>
    <t>303S824290</t>
  </si>
  <si>
    <t>PULLEY FEED</t>
  </si>
  <si>
    <t>302YJ19300</t>
  </si>
  <si>
    <t>SEAL LSU C</t>
  </si>
  <si>
    <t>30B2</t>
  </si>
  <si>
    <t>30C0DJ1360</t>
  </si>
  <si>
    <t>SEAL SHUTTER SUPPLY C</t>
  </si>
  <si>
    <t>30C0DJ1320</t>
  </si>
  <si>
    <t>SHEET SHUTTER</t>
  </si>
  <si>
    <t>303RW07040</t>
  </si>
  <si>
    <t>GUIDE FEED ROLLER</t>
  </si>
  <si>
    <t>302DY44120</t>
  </si>
  <si>
    <t>MOTOR-PM 42</t>
  </si>
  <si>
    <t>NMB-MINEBEA THAI LTD.</t>
  </si>
  <si>
    <t>3V2TP00012</t>
  </si>
  <si>
    <t>CASSETTE ASSY</t>
  </si>
  <si>
    <t>TENMA VIETNAM CO., LTD.</t>
  </si>
  <si>
    <t>30C0D03250</t>
  </si>
  <si>
    <t>TAPE PLATE PROCESS</t>
  </si>
  <si>
    <t>3V2ND17400</t>
  </si>
  <si>
    <t>FILM FRAME SIDE R</t>
  </si>
  <si>
    <t>3V2RH17160</t>
  </si>
  <si>
    <t>LABEL SIZE(M)</t>
  </si>
  <si>
    <t>3V2L714400</t>
  </si>
  <si>
    <t>SEAL SUPPLY JOINT</t>
  </si>
  <si>
    <t>3V2ND33290</t>
  </si>
  <si>
    <t>SPONGE HOUSING FAN B</t>
  </si>
  <si>
    <t>3V2RH17140</t>
  </si>
  <si>
    <t>INDICATOR REAR(M)</t>
  </si>
  <si>
    <t>3V2XC29030</t>
  </si>
  <si>
    <t>SHEET GUIDE FEED R</t>
  </si>
  <si>
    <t>3V2ND15200</t>
  </si>
  <si>
    <t>FILM CLEANING</t>
  </si>
  <si>
    <t>3V2ND17370</t>
  </si>
  <si>
    <t>FILM FFC LED</t>
  </si>
  <si>
    <t>3V2GR17970</t>
  </si>
  <si>
    <t>STOPPER PI</t>
  </si>
  <si>
    <t>3V2K317660</t>
  </si>
  <si>
    <t>FILM FRAME</t>
  </si>
  <si>
    <t>3V2ND06660</t>
  </si>
  <si>
    <t>FILM FEED LOW</t>
  </si>
  <si>
    <t>3V2RH17170</t>
  </si>
  <si>
    <t>LABEL SIZE(I)</t>
  </si>
  <si>
    <t>3V2V817040</t>
  </si>
  <si>
    <t>FRAME MIRROR A</t>
  </si>
  <si>
    <t>3V2XC06130</t>
  </si>
  <si>
    <t>SHEET FEED</t>
  </si>
  <si>
    <t>3W2ND02260</t>
  </si>
  <si>
    <t>MOUNT ID SENSOR</t>
  </si>
  <si>
    <t>302DY34930</t>
  </si>
  <si>
    <t>LABEL LASER CAUTION</t>
  </si>
  <si>
    <t>30C0D31010</t>
  </si>
  <si>
    <t>PLATE DRIVE MAIN</t>
  </si>
  <si>
    <t>3V2ND29310</t>
  </si>
  <si>
    <t>SHEET GUIDE FEED</t>
  </si>
  <si>
    <t>30C0D02030</t>
  </si>
  <si>
    <t>FRAME REAR</t>
  </si>
  <si>
    <t>3W2ND21270</t>
  </si>
  <si>
    <t>PLATE TENSION R</t>
  </si>
  <si>
    <t>30C0D02020</t>
  </si>
  <si>
    <t>FRAME RIGHT</t>
  </si>
  <si>
    <t>3W2L712060</t>
  </si>
  <si>
    <t>PLATE DRUM F</t>
  </si>
  <si>
    <t>302RV02021</t>
  </si>
  <si>
    <t>3V2L714030</t>
  </si>
  <si>
    <t>BLADE DLP</t>
  </si>
  <si>
    <t>ORC VIETNAM COMPANY LIMITED</t>
  </si>
  <si>
    <t>302NR31280</t>
  </si>
  <si>
    <t>PLATE MAIN DRIVE A</t>
  </si>
  <si>
    <t>30C1402110</t>
  </si>
  <si>
    <t>SHEET STAY REAR</t>
  </si>
  <si>
    <t>3W2ND06790</t>
  </si>
  <si>
    <t>MOUNT COVER STRAP</t>
  </si>
  <si>
    <t>30C1425090</t>
  </si>
  <si>
    <t>BUSH PRESS</t>
  </si>
  <si>
    <t>IPPO COMPANY LIMITED</t>
  </si>
  <si>
    <t>3V2K317110</t>
  </si>
  <si>
    <t>FRAME MIRROR B</t>
  </si>
  <si>
    <t>3V2XC12140</t>
  </si>
  <si>
    <t>PLATE ROLL</t>
  </si>
  <si>
    <t>302RV14610</t>
  </si>
  <si>
    <t>303NB36521</t>
  </si>
  <si>
    <t>GUIDE PAPER EXIT</t>
  </si>
  <si>
    <t>302HN22070</t>
  </si>
  <si>
    <t>GEAR Z22L TC ROLL</t>
  </si>
  <si>
    <t>302NR21021</t>
  </si>
  <si>
    <t>BELT TRANSFER</t>
  </si>
  <si>
    <t>KDC FOR KDTVN</t>
  </si>
  <si>
    <t>302YJ21440</t>
  </si>
  <si>
    <t>SEAL SCREW TONER FEED</t>
  </si>
  <si>
    <t>302YJ21690</t>
  </si>
  <si>
    <t>SHEET STOPPER RACK A</t>
  </si>
  <si>
    <t>302HN08240</t>
  </si>
  <si>
    <t>TAPE MPF</t>
  </si>
  <si>
    <t>302YJ14430</t>
  </si>
  <si>
    <t>SCRAPER SENSOR</t>
  </si>
  <si>
    <t>302YJ21420</t>
  </si>
  <si>
    <t>SEAL SHUTTER CONTAINER</t>
  </si>
  <si>
    <t>302YJ14020</t>
  </si>
  <si>
    <t>3V2LV14060</t>
  </si>
  <si>
    <t>PLATE DLP MAG</t>
  </si>
  <si>
    <t>3W2ND31020</t>
  </si>
  <si>
    <t>PLATE MAIN DRIVE</t>
  </si>
  <si>
    <t>VIETNAM IRITANI CO., LTD</t>
  </si>
  <si>
    <t>3W2XC31050</t>
  </si>
  <si>
    <t>PLATE MAIN DRIVE H</t>
  </si>
  <si>
    <t>3V2ND21020</t>
  </si>
  <si>
    <t>FRAME MIDDLE TRANSFER F</t>
  </si>
  <si>
    <t>OK5</t>
  </si>
  <si>
    <t>302YJ31210</t>
  </si>
  <si>
    <t>HOLDER FEED DRIVE B</t>
  </si>
  <si>
    <t>CHANGHONG TECHNOLOGY (VIET NAM) CO.</t>
  </si>
  <si>
    <t>302YJ06410</t>
  </si>
  <si>
    <t>HOLDER MIDDLE FEED</t>
  </si>
  <si>
    <t>3V2LV14090</t>
  </si>
  <si>
    <t>SCREW DLP A</t>
  </si>
  <si>
    <t>3V2LV14110</t>
  </si>
  <si>
    <t>COVER DLP L</t>
  </si>
  <si>
    <t>302Y325020</t>
  </si>
  <si>
    <t>PLATE GAP</t>
  </si>
  <si>
    <t>3V2ND03B20</t>
  </si>
  <si>
    <t>LABEL CAUTION</t>
  </si>
  <si>
    <t>3V2TP00031</t>
  </si>
  <si>
    <t>COVER LEFT ASSY</t>
  </si>
  <si>
    <t>3V2P725281</t>
  </si>
  <si>
    <t>ROLLER PRESS</t>
  </si>
  <si>
    <t>SWCC SHOWA (VIETNAM) CO., LTD</t>
  </si>
  <si>
    <t>3V2LV14070</t>
  </si>
  <si>
    <t>CASE DLP</t>
  </si>
  <si>
    <t>3V2L700130</t>
  </si>
  <si>
    <t>EXIT UNIT L ASSY</t>
  </si>
  <si>
    <t>3V2Y301060</t>
  </si>
  <si>
    <t>PWB ASSY CONTAINER CONNECT B</t>
  </si>
  <si>
    <t>3V2V301030</t>
  </si>
  <si>
    <t>PWB ASSY CONNECT-R</t>
  </si>
  <si>
    <t>3V2XC01050</t>
  </si>
  <si>
    <t>PWB FRONT DRIVE ASSY</t>
  </si>
  <si>
    <t>3V2XD01040</t>
  </si>
  <si>
    <t>PWB IMAGE DRIVE ASSY WITH SOFTWARE</t>
  </si>
  <si>
    <t>3V2XC01030</t>
  </si>
  <si>
    <t>PWB FEED DRIVE ASSY</t>
  </si>
  <si>
    <t>3V2Y301040</t>
  </si>
  <si>
    <t>PWB ASSY PANEL WITH SOFTWARE</t>
  </si>
  <si>
    <t>3V3TC01150</t>
  </si>
  <si>
    <t>PWB SHD ASSY</t>
  </si>
  <si>
    <t>3VC2301010</t>
  </si>
  <si>
    <t>PWB MAIN ASSY WITH SOFTWARE</t>
  </si>
  <si>
    <t>3V2YK01070</t>
  </si>
  <si>
    <t>PWB ENGINE CONNECT ASSY</t>
  </si>
  <si>
    <t>3V3TC01040</t>
  </si>
  <si>
    <t>PWB DP IF ASSY</t>
  </si>
  <si>
    <t>3V3WN01020</t>
  </si>
  <si>
    <t>PWB ASSY FAX IF WITH SOFTWARE</t>
  </si>
  <si>
    <t>3V2XC45050</t>
  </si>
  <si>
    <t>UNIT HIGH VOLTAGE FUSER</t>
  </si>
  <si>
    <t>POWER SUPPLY TECHNOLOGY (HK) CO.,LT</t>
  </si>
  <si>
    <t>3V2YJ01170</t>
  </si>
  <si>
    <t>PWB ERASER ASSY</t>
  </si>
  <si>
    <t>3VC2N01020</t>
  </si>
  <si>
    <t>3VC2N01070</t>
  </si>
  <si>
    <t>PWB ENGINE ASSY WITH SOFTWARE</t>
  </si>
  <si>
    <t>3VC0D01010</t>
  </si>
  <si>
    <t>3VC2201010</t>
  </si>
  <si>
    <t>3VC2L01070</t>
  </si>
  <si>
    <t>3V2XD01380</t>
  </si>
  <si>
    <t>PWB PANEL ASSY WITH SOFTWARE</t>
  </si>
  <si>
    <t>3V2YK01030</t>
  </si>
  <si>
    <t>PWB PANEL MAIN ASSY WITH SOFTWARE</t>
  </si>
  <si>
    <t>3VC0V01050</t>
  </si>
  <si>
    <t>PWB CCD ASSY</t>
  </si>
  <si>
    <t>3V2XC01141</t>
  </si>
  <si>
    <t>3VC0D01040</t>
  </si>
  <si>
    <t>PWB CONTAINER CONNECT ASSY</t>
  </si>
  <si>
    <t>3V3TC46040</t>
  </si>
  <si>
    <t>CONN.CORD ASSY INTERLOCK</t>
  </si>
  <si>
    <t>SUMIDENSO VIETNAM CO., LTD.</t>
  </si>
  <si>
    <t>3V2XD01050</t>
  </si>
  <si>
    <t>3V2YK01080</t>
  </si>
  <si>
    <t>3VC0G01010</t>
  </si>
  <si>
    <t>3V2V300040</t>
  </si>
  <si>
    <t>COVER SIDE LEFT ASSY</t>
  </si>
  <si>
    <t>3VC2G50100</t>
  </si>
  <si>
    <t>PROTECT SHEET PANEL</t>
  </si>
  <si>
    <t>3V2XC14350</t>
  </si>
  <si>
    <t>SHEET SIDE MAG F</t>
  </si>
  <si>
    <t>3V2XC14400</t>
  </si>
  <si>
    <t>SEAL STAY BLADE</t>
  </si>
  <si>
    <t>3V2XC14550</t>
  </si>
  <si>
    <t>3V2ND14890</t>
  </si>
  <si>
    <t>SEAL PROTECT DRUM</t>
  </si>
  <si>
    <t>3V2XC12320</t>
  </si>
  <si>
    <t>SEAL DRUM R</t>
  </si>
  <si>
    <t>302YJ21990</t>
  </si>
  <si>
    <t>SPACER FRAME TOP</t>
  </si>
  <si>
    <t>302YJ14501</t>
  </si>
  <si>
    <t>SEAL BLADE FRONT</t>
  </si>
  <si>
    <t>30C0D14260</t>
  </si>
  <si>
    <t>SHEET COVER MAG A</t>
  </si>
  <si>
    <t>30C0D14450</t>
  </si>
  <si>
    <t>SEAL LID DLP D</t>
  </si>
  <si>
    <t>30C0D21450</t>
  </si>
  <si>
    <t>SEAL ID BACK UP</t>
  </si>
  <si>
    <t>30C0D02E20</t>
  </si>
  <si>
    <t>SHEET COVER FAX</t>
  </si>
  <si>
    <t>30C0D28270</t>
  </si>
  <si>
    <t>SEAL EXIT R</t>
  </si>
  <si>
    <t>30C0D14350</t>
  </si>
  <si>
    <t>SEAL SIDE DLP</t>
  </si>
  <si>
    <t>30C0D14480</t>
  </si>
  <si>
    <t>SHEET COVER MAG C</t>
  </si>
  <si>
    <t>30C0D14320</t>
  </si>
  <si>
    <t>SEAL LID DLP C</t>
  </si>
  <si>
    <t>3V3R734080</t>
  </si>
  <si>
    <t>LABEL ISU COVER</t>
  </si>
  <si>
    <t>3V3TC34020</t>
  </si>
  <si>
    <t>LABEL SIZE STOPPER UPPER</t>
  </si>
  <si>
    <t>302YJ21940</t>
  </si>
  <si>
    <t>SEAL FRAME TOP H</t>
  </si>
  <si>
    <t>30C0D18330</t>
  </si>
  <si>
    <t>SHEET DP</t>
  </si>
  <si>
    <t>302YJ14940</t>
  </si>
  <si>
    <t>PIECE LID DLP</t>
  </si>
  <si>
    <t>30C0D14290</t>
  </si>
  <si>
    <t>3V3TC34030</t>
  </si>
  <si>
    <t>LABEL SIZE STOPPER LOWER</t>
  </si>
  <si>
    <t>3V3R702060</t>
  </si>
  <si>
    <t>GUIDE WIRE DRIVE</t>
  </si>
  <si>
    <t>CHEEYUEN (VN) ELECTRONIC TECH CO.,L</t>
  </si>
  <si>
    <t>302YK02140</t>
  </si>
  <si>
    <t>GUIDE CASSETTE RIGHT 250</t>
  </si>
  <si>
    <t>3V2LV31011</t>
  </si>
  <si>
    <t>PLATE DRIVE</t>
  </si>
  <si>
    <t>3V2XC39050</t>
  </si>
  <si>
    <t>BASE TERMINAL TC</t>
  </si>
  <si>
    <t>SEIYO HAI PHONG VN COMPANY LIMITED</t>
  </si>
  <si>
    <t>3V2LV24320</t>
  </si>
  <si>
    <t>SPRING EARTH RIGHT</t>
  </si>
  <si>
    <t>MATEX (VIETNAM) LTD.</t>
  </si>
  <si>
    <t>3W2L702010</t>
  </si>
  <si>
    <t>302LV06080</t>
  </si>
  <si>
    <t>HOLDER FEED B</t>
  </si>
  <si>
    <t>303V850120</t>
  </si>
  <si>
    <t>CASE OUTER NL -V</t>
  </si>
  <si>
    <t>GLOBAL WRAPPER (VN) TECHNOLOGY CO.,</t>
  </si>
  <si>
    <t>30C1450630</t>
  </si>
  <si>
    <t>CASE OUTER -V 4043MF LV</t>
  </si>
  <si>
    <t>OJITEX HAIPHONG CO., LTD.</t>
  </si>
  <si>
    <t>30C1550670</t>
  </si>
  <si>
    <t>CASE OUTER -V P40040X KR</t>
  </si>
  <si>
    <t>303V850040</t>
  </si>
  <si>
    <t>SKID -V</t>
  </si>
  <si>
    <t>30C0D52370</t>
  </si>
  <si>
    <t>SPACER A TR -V</t>
  </si>
  <si>
    <t>BR - EPE PACKAGING VN CO.,LTD.IN VS</t>
  </si>
  <si>
    <t>30C0D52380</t>
  </si>
  <si>
    <t>SPACER B TR -V</t>
  </si>
  <si>
    <t>30C0D52390</t>
  </si>
  <si>
    <t>SPACER C TR -V</t>
  </si>
  <si>
    <t>302K344012</t>
  </si>
  <si>
    <t>MOTOR-BL W30</t>
  </si>
  <si>
    <t>302LC44074</t>
  </si>
  <si>
    <t>MOTOR-BL W20 DRUM Z11</t>
  </si>
  <si>
    <t>3V2YK00010</t>
  </si>
  <si>
    <t>DSDP ASSY</t>
  </si>
  <si>
    <t>OK16</t>
  </si>
  <si>
    <t>3V2XC00032</t>
  </si>
  <si>
    <t>CASSETTE ASSY 2ND</t>
  </si>
  <si>
    <t>3VC2L00020</t>
  </si>
  <si>
    <t>PU RAIL L ASSY</t>
  </si>
  <si>
    <t>CONG TY CO PHAN NHUA KY THUAT VAN L</t>
  </si>
  <si>
    <t>302NR25040</t>
  </si>
  <si>
    <t>COVER FUSER LOW</t>
  </si>
  <si>
    <t>KURODA KAGAKU VIETNAM CO., LTD.</t>
  </si>
  <si>
    <t>302TA02011</t>
  </si>
  <si>
    <t>3V2YJ01080</t>
  </si>
  <si>
    <t>PWB DLP ASSY</t>
  </si>
  <si>
    <t>3V2YK01050</t>
  </si>
  <si>
    <t>PWB KEY-L ASSY</t>
  </si>
  <si>
    <t>302YJ02011</t>
  </si>
  <si>
    <t>FRAME LEFT</t>
  </si>
  <si>
    <t>KEIN HING MURAMOTO (VN)CO.,LTD.HP B</t>
  </si>
  <si>
    <t>302YJ21060</t>
  </si>
  <si>
    <t>FRAME INNER CK</t>
  </si>
  <si>
    <t>HUDSON (VIETNAM) MANUFACTURE CO., L</t>
  </si>
  <si>
    <t>30C0D14040</t>
  </si>
  <si>
    <t>3VC0D00500</t>
  </si>
  <si>
    <t>DP ASSY</t>
  </si>
  <si>
    <t>303NB37181</t>
  </si>
  <si>
    <t>RAIL MAIN TRAY</t>
  </si>
  <si>
    <t>HUA YUAN SHENG INDUSTRIAL COMPANY L</t>
  </si>
  <si>
    <t>*</t>
  </si>
  <si>
    <t>Định dạng ô theo giá trị ô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</si>
</sst>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/>
    <xf numFmtId="43" fontId="0" fillId="0" borderId="0" xfId="1" applyFont="1"/>
    <xf numFmtId="0" fontId="0" fillId="0" borderId="0" xfId="0" applyAlignment="1">
      <alignment textRotation="45"/>
    </xf>
    <xf numFmtId="0" fontId="0" fillId="3" borderId="2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quotePrefix="1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0" xfId="0" applyFill="1"/>
    <xf numFmtId="4" fontId="0" fillId="0" borderId="1" xfId="0" applyNumberFormat="1" applyBorder="1"/>
    <xf numFmtId="21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90"/>
  <sheetViews>
    <sheetView tabSelected="1" topLeftCell="A82" zoomScale="85" zoomScaleNormal="85" zoomScalePageLayoutView="55" workbookViewId="0">
      <selection activeCell="C100" sqref="C100"/>
    </sheetView>
  </sheetViews>
  <sheetFormatPr defaultRowHeight="14.5" x14ac:dyDescent="0.35"/>
  <cols>
    <col min="1" max="1" width="13.54296875" customWidth="1"/>
    <col min="2" max="2" width="14.6328125" customWidth="1"/>
    <col min="3" max="3" width="16.453125" customWidth="1"/>
    <col min="4" max="4" width="25.08984375" customWidth="1"/>
    <col min="5" max="5" width="21.90625" bestFit="1" customWidth="1"/>
    <col min="6" max="6" width="34.54296875" bestFit="1" customWidth="1"/>
    <col min="7" max="7" width="11.26953125" customWidth="1"/>
    <col min="8" max="8" width="29.36328125" bestFit="1" customWidth="1"/>
  </cols>
  <sheetData>
    <row r="1" spans="1:5" x14ac:dyDescent="0.35">
      <c r="A1" s="4" t="s">
        <v>0</v>
      </c>
    </row>
    <row r="3" spans="1:5" x14ac:dyDescent="0.35">
      <c r="A3" s="3" t="s">
        <v>5</v>
      </c>
      <c r="B3" s="3" t="s">
        <v>4</v>
      </c>
      <c r="C3" s="3" t="s">
        <v>1</v>
      </c>
      <c r="D3" s="3" t="s">
        <v>2</v>
      </c>
      <c r="E3" s="3" t="s">
        <v>3</v>
      </c>
    </row>
    <row r="4" spans="1:5" x14ac:dyDescent="0.35">
      <c r="A4" s="2" t="s">
        <v>6</v>
      </c>
      <c r="B4" s="2">
        <v>6</v>
      </c>
      <c r="C4" s="2">
        <v>45</v>
      </c>
      <c r="D4" s="2">
        <v>27</v>
      </c>
      <c r="E4" s="5"/>
    </row>
    <row r="5" spans="1:5" x14ac:dyDescent="0.35">
      <c r="A5" s="2" t="s">
        <v>7</v>
      </c>
      <c r="B5" s="1">
        <v>6</v>
      </c>
      <c r="C5" s="1">
        <v>40</v>
      </c>
      <c r="D5" s="1">
        <v>25</v>
      </c>
      <c r="E5" s="5"/>
    </row>
    <row r="6" spans="1:5" x14ac:dyDescent="0.35">
      <c r="A6" s="2" t="s">
        <v>8</v>
      </c>
      <c r="B6" s="1">
        <v>6</v>
      </c>
      <c r="C6" s="1">
        <v>35</v>
      </c>
      <c r="D6" s="1">
        <v>24</v>
      </c>
      <c r="E6" s="5"/>
    </row>
    <row r="7" spans="1:5" x14ac:dyDescent="0.35">
      <c r="A7" s="2" t="s">
        <v>9</v>
      </c>
      <c r="B7" s="1">
        <v>6</v>
      </c>
      <c r="C7" s="1">
        <v>34</v>
      </c>
      <c r="D7" s="1">
        <v>30</v>
      </c>
      <c r="E7" s="5"/>
    </row>
    <row r="8" spans="1:5" x14ac:dyDescent="0.35">
      <c r="A8" s="2" t="s">
        <v>10</v>
      </c>
      <c r="B8" s="1">
        <v>6</v>
      </c>
      <c r="C8" s="1">
        <v>29</v>
      </c>
      <c r="D8" s="1">
        <v>16</v>
      </c>
      <c r="E8" s="5"/>
    </row>
    <row r="11" spans="1:5" x14ac:dyDescent="0.35">
      <c r="A11" s="4" t="s">
        <v>11</v>
      </c>
    </row>
    <row r="12" spans="1:5" x14ac:dyDescent="0.35">
      <c r="A12" s="4" t="s">
        <v>30</v>
      </c>
    </row>
    <row r="13" spans="1:5" x14ac:dyDescent="0.35">
      <c r="A13" s="3"/>
      <c r="B13" s="3" t="s">
        <v>14</v>
      </c>
      <c r="C13" s="3" t="s">
        <v>15</v>
      </c>
      <c r="D13" t="s">
        <v>16</v>
      </c>
    </row>
    <row r="14" spans="1:5" x14ac:dyDescent="0.35">
      <c r="A14" s="2" t="s">
        <v>12</v>
      </c>
      <c r="B14" s="2">
        <v>81</v>
      </c>
      <c r="C14" s="6"/>
    </row>
    <row r="15" spans="1:5" x14ac:dyDescent="0.35">
      <c r="A15" s="2" t="s">
        <v>13</v>
      </c>
      <c r="B15" s="2">
        <v>78</v>
      </c>
      <c r="C15" s="6"/>
      <c r="D15" s="19"/>
    </row>
    <row r="17" spans="1:7" x14ac:dyDescent="0.35">
      <c r="A17" s="3"/>
      <c r="B17" s="3" t="s">
        <v>14</v>
      </c>
      <c r="C17" s="3" t="s">
        <v>15</v>
      </c>
      <c r="D17" t="s">
        <v>17</v>
      </c>
    </row>
    <row r="18" spans="1:7" x14ac:dyDescent="0.35">
      <c r="A18" s="2" t="s">
        <v>12</v>
      </c>
      <c r="B18" s="2">
        <v>81</v>
      </c>
      <c r="C18" s="5"/>
      <c r="E18" t="s">
        <v>63</v>
      </c>
    </row>
    <row r="19" spans="1:7" x14ac:dyDescent="0.35">
      <c r="A19" s="2" t="s">
        <v>13</v>
      </c>
      <c r="B19" s="2">
        <v>78</v>
      </c>
      <c r="C19" s="5"/>
    </row>
    <row r="20" spans="1:7" x14ac:dyDescent="0.35">
      <c r="A20" s="2" t="s">
        <v>13</v>
      </c>
      <c r="B20" s="2">
        <v>50</v>
      </c>
      <c r="C20" s="5"/>
    </row>
    <row r="21" spans="1:7" x14ac:dyDescent="0.35">
      <c r="D21" s="17" t="s">
        <v>66</v>
      </c>
      <c r="E21" s="17" t="s">
        <v>65</v>
      </c>
    </row>
    <row r="22" spans="1:7" x14ac:dyDescent="0.35">
      <c r="A22" s="3"/>
      <c r="B22" s="3" t="s">
        <v>18</v>
      </c>
      <c r="C22" s="3" t="s">
        <v>19</v>
      </c>
      <c r="D22" s="3" t="s">
        <v>15</v>
      </c>
      <c r="E22" s="16" t="s">
        <v>64</v>
      </c>
    </row>
    <row r="23" spans="1:7" x14ac:dyDescent="0.35">
      <c r="A23" s="2" t="s">
        <v>12</v>
      </c>
      <c r="B23" s="2">
        <v>81</v>
      </c>
      <c r="C23" s="6">
        <v>30</v>
      </c>
      <c r="D23" s="5"/>
      <c r="E23" s="5"/>
    </row>
    <row r="24" spans="1:7" x14ac:dyDescent="0.35">
      <c r="A24" s="2" t="s">
        <v>13</v>
      </c>
      <c r="B24" s="2">
        <v>78</v>
      </c>
      <c r="C24" s="6">
        <v>70</v>
      </c>
      <c r="D24" s="5"/>
      <c r="E24" s="5"/>
    </row>
    <row r="25" spans="1:7" x14ac:dyDescent="0.35">
      <c r="D25" t="s">
        <v>62</v>
      </c>
    </row>
    <row r="26" spans="1:7" x14ac:dyDescent="0.35">
      <c r="A26" s="4" t="s">
        <v>29</v>
      </c>
    </row>
    <row r="27" spans="1:7" x14ac:dyDescent="0.35">
      <c r="A27" s="23" t="s">
        <v>20</v>
      </c>
      <c r="B27" s="23"/>
      <c r="C27" s="7" t="s">
        <v>5</v>
      </c>
    </row>
    <row r="28" spans="1:7" x14ac:dyDescent="0.35">
      <c r="A28" s="22" t="s">
        <v>21</v>
      </c>
      <c r="B28" s="22"/>
      <c r="C28" s="8"/>
      <c r="F28" s="22"/>
      <c r="G28" s="22"/>
    </row>
    <row r="29" spans="1:7" x14ac:dyDescent="0.35">
      <c r="A29" s="22" t="s">
        <v>22</v>
      </c>
      <c r="B29" s="22"/>
      <c r="C29" s="8"/>
    </row>
    <row r="30" spans="1:7" x14ac:dyDescent="0.35">
      <c r="A30" t="str">
        <f>RIGHT(A28,2)</f>
        <v>02</v>
      </c>
    </row>
    <row r="31" spans="1:7" x14ac:dyDescent="0.35">
      <c r="A31" s="4" t="s">
        <v>28</v>
      </c>
    </row>
    <row r="32" spans="1:7" x14ac:dyDescent="0.35">
      <c r="A32" s="23" t="s">
        <v>24</v>
      </c>
      <c r="B32" s="23"/>
      <c r="C32" s="7" t="s">
        <v>25</v>
      </c>
    </row>
    <row r="33" spans="1:4" x14ac:dyDescent="0.35">
      <c r="A33" s="22" t="s">
        <v>23</v>
      </c>
      <c r="B33" s="22"/>
      <c r="C33" s="8"/>
    </row>
    <row r="34" spans="1:4" x14ac:dyDescent="0.35">
      <c r="A34" s="9"/>
      <c r="B34" s="9"/>
      <c r="C34" s="9"/>
    </row>
    <row r="35" spans="1:4" x14ac:dyDescent="0.35">
      <c r="A35" s="4" t="s">
        <v>27</v>
      </c>
    </row>
    <row r="36" spans="1:4" x14ac:dyDescent="0.35">
      <c r="A36" s="23" t="s">
        <v>24</v>
      </c>
      <c r="B36" s="23"/>
      <c r="C36" s="7" t="s">
        <v>5</v>
      </c>
      <c r="D36" s="7" t="s">
        <v>25</v>
      </c>
    </row>
    <row r="37" spans="1:4" x14ac:dyDescent="0.35">
      <c r="A37" s="22" t="s">
        <v>23</v>
      </c>
      <c r="B37" s="22"/>
      <c r="C37" s="8"/>
    </row>
    <row r="39" spans="1:4" x14ac:dyDescent="0.35">
      <c r="A39" s="4" t="s">
        <v>26</v>
      </c>
    </row>
    <row r="40" spans="1:4" x14ac:dyDescent="0.35">
      <c r="A40" s="23" t="s">
        <v>20</v>
      </c>
      <c r="B40" s="23"/>
      <c r="C40" s="7" t="s">
        <v>31</v>
      </c>
    </row>
    <row r="41" spans="1:4" x14ac:dyDescent="0.35">
      <c r="A41" s="22" t="s">
        <v>21</v>
      </c>
      <c r="B41" s="22"/>
      <c r="C41" s="8"/>
    </row>
    <row r="42" spans="1:4" x14ac:dyDescent="0.35">
      <c r="A42" s="22" t="s">
        <v>22</v>
      </c>
      <c r="B42" s="22"/>
      <c r="C42" s="8"/>
    </row>
    <row r="44" spans="1:4" x14ac:dyDescent="0.35">
      <c r="A44" s="4" t="s">
        <v>35</v>
      </c>
    </row>
    <row r="45" spans="1:4" x14ac:dyDescent="0.35">
      <c r="A45" s="23" t="s">
        <v>32</v>
      </c>
      <c r="B45" s="23"/>
      <c r="C45" s="7" t="s">
        <v>31</v>
      </c>
    </row>
    <row r="46" spans="1:4" x14ac:dyDescent="0.35">
      <c r="A46" s="22" t="s">
        <v>33</v>
      </c>
      <c r="B46" s="22"/>
      <c r="C46" s="8"/>
    </row>
    <row r="47" spans="1:4" x14ac:dyDescent="0.35">
      <c r="A47" s="22" t="s">
        <v>34</v>
      </c>
      <c r="B47" s="22"/>
      <c r="C47" s="8"/>
    </row>
    <row r="49" spans="1:8" x14ac:dyDescent="0.35">
      <c r="A49" s="4" t="s">
        <v>39</v>
      </c>
    </row>
    <row r="50" spans="1:8" x14ac:dyDescent="0.35">
      <c r="A50" s="3"/>
      <c r="B50" s="3" t="s">
        <v>14</v>
      </c>
    </row>
    <row r="51" spans="1:8" x14ac:dyDescent="0.35">
      <c r="A51" s="2" t="s">
        <v>12</v>
      </c>
      <c r="B51" s="2">
        <v>81</v>
      </c>
      <c r="C51" s="10" t="s">
        <v>36</v>
      </c>
      <c r="D51" s="5"/>
    </row>
    <row r="52" spans="1:8" x14ac:dyDescent="0.35">
      <c r="A52" s="2" t="s">
        <v>13</v>
      </c>
      <c r="B52" s="2" t="s">
        <v>70</v>
      </c>
      <c r="C52" s="10" t="s">
        <v>37</v>
      </c>
      <c r="D52" s="5"/>
    </row>
    <row r="53" spans="1:8" x14ac:dyDescent="0.35">
      <c r="A53" s="2" t="s">
        <v>13</v>
      </c>
      <c r="B53" s="2">
        <v>50</v>
      </c>
      <c r="C53" s="10" t="s">
        <v>38</v>
      </c>
      <c r="D53" s="5"/>
    </row>
    <row r="55" spans="1:8" x14ac:dyDescent="0.35">
      <c r="A55" s="4" t="s">
        <v>56</v>
      </c>
    </row>
    <row r="56" spans="1:8" x14ac:dyDescent="0.35">
      <c r="A56" s="3" t="s">
        <v>5</v>
      </c>
      <c r="B56" s="3" t="s">
        <v>4</v>
      </c>
      <c r="C56" s="3" t="s">
        <v>1</v>
      </c>
      <c r="D56" s="3" t="s">
        <v>2</v>
      </c>
      <c r="E56" s="3" t="s">
        <v>3</v>
      </c>
    </row>
    <row r="57" spans="1:8" x14ac:dyDescent="0.35">
      <c r="A57" s="2" t="s">
        <v>6</v>
      </c>
      <c r="B57" s="2">
        <v>6</v>
      </c>
      <c r="C57" s="2">
        <v>45</v>
      </c>
      <c r="D57" s="2">
        <v>27</v>
      </c>
      <c r="E57" s="5"/>
      <c r="G57" s="1"/>
      <c r="H57" s="1"/>
    </row>
    <row r="58" spans="1:8" x14ac:dyDescent="0.35">
      <c r="A58" s="2" t="s">
        <v>7</v>
      </c>
      <c r="B58" s="1">
        <v>6</v>
      </c>
      <c r="C58" s="1">
        <v>40</v>
      </c>
      <c r="D58" s="1">
        <v>25</v>
      </c>
      <c r="E58" s="5"/>
    </row>
    <row r="59" spans="1:8" x14ac:dyDescent="0.35">
      <c r="A59" s="2" t="s">
        <v>8</v>
      </c>
      <c r="B59" s="1">
        <v>6</v>
      </c>
      <c r="C59" s="1">
        <v>35</v>
      </c>
      <c r="D59" s="1">
        <v>24</v>
      </c>
      <c r="E59" s="5"/>
    </row>
    <row r="60" spans="1:8" x14ac:dyDescent="0.35">
      <c r="A60" s="2" t="s">
        <v>9</v>
      </c>
      <c r="B60" s="1">
        <v>6</v>
      </c>
      <c r="C60" s="1">
        <v>34</v>
      </c>
      <c r="D60" s="1">
        <v>30</v>
      </c>
      <c r="E60" s="5"/>
    </row>
    <row r="61" spans="1:8" x14ac:dyDescent="0.35">
      <c r="A61" s="2" t="s">
        <v>10</v>
      </c>
      <c r="B61" s="1">
        <v>6</v>
      </c>
      <c r="C61" s="1">
        <v>29</v>
      </c>
      <c r="D61" s="1">
        <v>16</v>
      </c>
      <c r="E61" s="5"/>
    </row>
    <row r="62" spans="1:8" x14ac:dyDescent="0.35">
      <c r="E62" s="15"/>
    </row>
    <row r="63" spans="1:8" x14ac:dyDescent="0.35">
      <c r="A63" s="4" t="s">
        <v>55</v>
      </c>
    </row>
    <row r="64" spans="1:8" x14ac:dyDescent="0.35">
      <c r="A64" s="3" t="s">
        <v>47</v>
      </c>
      <c r="B64" s="3" t="s">
        <v>40</v>
      </c>
      <c r="C64" s="3" t="s">
        <v>41</v>
      </c>
      <c r="D64" s="3" t="s">
        <v>42</v>
      </c>
      <c r="F64" s="3" t="s">
        <v>51</v>
      </c>
      <c r="G64" s="12"/>
      <c r="H64" t="s">
        <v>67</v>
      </c>
    </row>
    <row r="65" spans="1:8" x14ac:dyDescent="0.35">
      <c r="A65" s="2" t="s">
        <v>48</v>
      </c>
      <c r="B65" s="2">
        <v>10031229824</v>
      </c>
      <c r="C65" s="2" t="s">
        <v>43</v>
      </c>
      <c r="D65" s="11">
        <v>11.34999999194406</v>
      </c>
      <c r="G65" s="12"/>
      <c r="H65" t="s">
        <v>68</v>
      </c>
    </row>
    <row r="66" spans="1:8" x14ac:dyDescent="0.35">
      <c r="A66" s="2" t="s">
        <v>49</v>
      </c>
      <c r="B66" s="2">
        <v>10031229825</v>
      </c>
      <c r="C66" s="2" t="s">
        <v>44</v>
      </c>
      <c r="D66" s="11">
        <v>35.949999990407377</v>
      </c>
      <c r="G66" s="12"/>
      <c r="H66" t="s">
        <v>69</v>
      </c>
    </row>
    <row r="67" spans="1:8" x14ac:dyDescent="0.35">
      <c r="A67" s="2" t="s">
        <v>48</v>
      </c>
      <c r="B67" s="2">
        <v>10031229826</v>
      </c>
      <c r="C67" s="2" t="s">
        <v>45</v>
      </c>
      <c r="D67" s="11">
        <v>25.31666666502133</v>
      </c>
      <c r="G67" s="18"/>
    </row>
    <row r="68" spans="1:8" x14ac:dyDescent="0.35">
      <c r="A68" s="2" t="s">
        <v>48</v>
      </c>
      <c r="B68" s="2">
        <v>10031229827</v>
      </c>
      <c r="C68" s="2" t="s">
        <v>45</v>
      </c>
      <c r="D68" s="11">
        <v>25.31666666502133</v>
      </c>
      <c r="G68" s="18"/>
    </row>
    <row r="69" spans="1:8" x14ac:dyDescent="0.35">
      <c r="A69" s="2" t="s">
        <v>50</v>
      </c>
      <c r="B69" s="2">
        <v>10031229829</v>
      </c>
      <c r="C69" s="2" t="s">
        <v>46</v>
      </c>
      <c r="D69" s="11">
        <v>17.73333334014751</v>
      </c>
      <c r="G69" s="18"/>
    </row>
    <row r="71" spans="1:8" x14ac:dyDescent="0.35">
      <c r="A71" s="4" t="s">
        <v>52</v>
      </c>
    </row>
    <row r="72" spans="1:8" x14ac:dyDescent="0.35">
      <c r="A72" s="3" t="s">
        <v>53</v>
      </c>
      <c r="B72" s="3" t="s">
        <v>47</v>
      </c>
      <c r="C72" s="3" t="s">
        <v>40</v>
      </c>
      <c r="D72" s="3" t="s">
        <v>41</v>
      </c>
      <c r="E72" s="3" t="s">
        <v>42</v>
      </c>
      <c r="F72" s="3" t="s">
        <v>54</v>
      </c>
      <c r="G72" s="12"/>
    </row>
    <row r="73" spans="1:8" x14ac:dyDescent="0.35">
      <c r="A73" s="2">
        <v>12</v>
      </c>
      <c r="B73" s="2" t="s">
        <v>48</v>
      </c>
      <c r="C73" s="2">
        <v>10031229824</v>
      </c>
      <c r="D73" s="2" t="s">
        <v>43</v>
      </c>
      <c r="E73" s="11">
        <v>11.34999999194406</v>
      </c>
    </row>
    <row r="74" spans="1:8" x14ac:dyDescent="0.35">
      <c r="A74" s="2">
        <v>12</v>
      </c>
      <c r="B74" s="2" t="s">
        <v>49</v>
      </c>
      <c r="C74" s="2">
        <v>10031229825</v>
      </c>
      <c r="D74" s="2" t="s">
        <v>44</v>
      </c>
      <c r="E74" s="11">
        <v>35.949999990407377</v>
      </c>
      <c r="G74" s="14"/>
    </row>
    <row r="75" spans="1:8" x14ac:dyDescent="0.35">
      <c r="A75" s="2">
        <v>12</v>
      </c>
      <c r="B75" s="2" t="s">
        <v>48</v>
      </c>
      <c r="C75" s="2">
        <v>10031229826</v>
      </c>
      <c r="D75" s="2" t="s">
        <v>45</v>
      </c>
      <c r="E75" s="11">
        <v>25.31666666502133</v>
      </c>
    </row>
    <row r="76" spans="1:8" x14ac:dyDescent="0.35">
      <c r="A76" s="2">
        <v>13</v>
      </c>
      <c r="B76" s="2" t="s">
        <v>48</v>
      </c>
      <c r="C76" s="2">
        <v>10031229827</v>
      </c>
      <c r="D76" s="2" t="s">
        <v>45</v>
      </c>
      <c r="E76" s="11">
        <v>25.31666666502133</v>
      </c>
    </row>
    <row r="77" spans="1:8" x14ac:dyDescent="0.35">
      <c r="A77" s="2">
        <v>13</v>
      </c>
      <c r="B77" s="2" t="s">
        <v>50</v>
      </c>
      <c r="C77" s="2">
        <v>10031229829</v>
      </c>
      <c r="D77" s="2" t="s">
        <v>46</v>
      </c>
      <c r="E77" s="11">
        <v>17.73333334014751</v>
      </c>
    </row>
    <row r="79" spans="1:8" x14ac:dyDescent="0.35">
      <c r="A79" s="4" t="s">
        <v>60</v>
      </c>
    </row>
    <row r="80" spans="1:8" x14ac:dyDescent="0.35">
      <c r="A80" s="3" t="s">
        <v>53</v>
      </c>
      <c r="B80" s="3" t="s">
        <v>47</v>
      </c>
      <c r="C80" s="3" t="s">
        <v>40</v>
      </c>
      <c r="D80" s="3" t="s">
        <v>41</v>
      </c>
      <c r="E80" s="3" t="s">
        <v>42</v>
      </c>
      <c r="F80" s="3" t="s">
        <v>57</v>
      </c>
      <c r="G80" s="8"/>
    </row>
    <row r="81" spans="1:7" x14ac:dyDescent="0.35">
      <c r="A81" s="2">
        <v>12</v>
      </c>
      <c r="B81" s="2" t="s">
        <v>73</v>
      </c>
      <c r="C81" s="2">
        <v>10031229824</v>
      </c>
      <c r="D81" s="2" t="s">
        <v>43</v>
      </c>
      <c r="E81" s="11">
        <v>11.34999999194406</v>
      </c>
    </row>
    <row r="82" spans="1:7" x14ac:dyDescent="0.35">
      <c r="A82" s="2"/>
      <c r="B82" s="2"/>
      <c r="C82" s="2"/>
      <c r="D82" s="2"/>
      <c r="E82" s="11"/>
      <c r="F82" s="3" t="s">
        <v>58</v>
      </c>
      <c r="G82" s="8"/>
    </row>
    <row r="83" spans="1:7" x14ac:dyDescent="0.35">
      <c r="A83" s="2"/>
      <c r="B83" s="2"/>
      <c r="C83" s="2"/>
      <c r="D83" s="2"/>
      <c r="E83" s="11"/>
    </row>
    <row r="84" spans="1:7" x14ac:dyDescent="0.35">
      <c r="A84" s="2">
        <v>13</v>
      </c>
      <c r="B84" s="2" t="s">
        <v>71</v>
      </c>
      <c r="C84" s="2">
        <v>10031229827</v>
      </c>
      <c r="D84" s="2" t="s">
        <v>45</v>
      </c>
      <c r="E84" s="11">
        <v>25.31666666502133</v>
      </c>
      <c r="F84" s="3" t="s">
        <v>59</v>
      </c>
      <c r="G84" s="8"/>
    </row>
    <row r="85" spans="1:7" x14ac:dyDescent="0.35">
      <c r="A85" s="2">
        <v>13</v>
      </c>
      <c r="B85" s="2" t="s">
        <v>71</v>
      </c>
      <c r="C85" s="2">
        <v>10031229829</v>
      </c>
      <c r="D85" s="2" t="s">
        <v>46</v>
      </c>
      <c r="E85" s="11">
        <v>17.73333334014751</v>
      </c>
      <c r="F85" s="3" t="s">
        <v>61</v>
      </c>
      <c r="G85" s="8"/>
    </row>
    <row r="86" spans="1:7" x14ac:dyDescent="0.35">
      <c r="D86" s="13"/>
    </row>
    <row r="87" spans="1:7" x14ac:dyDescent="0.35">
      <c r="A87" s="4" t="s">
        <v>428</v>
      </c>
    </row>
    <row r="88" spans="1:7" x14ac:dyDescent="0.35">
      <c r="A88" s="3"/>
      <c r="B88" s="3" t="s">
        <v>14</v>
      </c>
      <c r="C88" s="3" t="s">
        <v>15</v>
      </c>
      <c r="D88" t="s">
        <v>16</v>
      </c>
    </row>
    <row r="89" spans="1:7" x14ac:dyDescent="0.35">
      <c r="A89" s="2" t="s">
        <v>12</v>
      </c>
      <c r="B89" s="2">
        <v>81</v>
      </c>
      <c r="C89" s="6"/>
    </row>
    <row r="90" spans="1:7" x14ac:dyDescent="0.35">
      <c r="A90" s="2" t="s">
        <v>13</v>
      </c>
      <c r="B90" s="2">
        <v>78</v>
      </c>
      <c r="C90" s="6"/>
      <c r="D90" s="19"/>
    </row>
  </sheetData>
  <sortState xmlns:xlrd2="http://schemas.microsoft.com/office/spreadsheetml/2017/richdata2" ref="A57:E61">
    <sortCondition descending="1" ref="C57:C61"/>
    <sortCondition descending="1" ref="D57:D61"/>
  </sortState>
  <mergeCells count="14">
    <mergeCell ref="F28:G28"/>
    <mergeCell ref="A47:B47"/>
    <mergeCell ref="A27:B27"/>
    <mergeCell ref="A28:B28"/>
    <mergeCell ref="A29:B29"/>
    <mergeCell ref="A36:B36"/>
    <mergeCell ref="A37:B37"/>
    <mergeCell ref="A32:B32"/>
    <mergeCell ref="A33:B33"/>
    <mergeCell ref="A40:B40"/>
    <mergeCell ref="A41:B41"/>
    <mergeCell ref="A42:B42"/>
    <mergeCell ref="A45:B45"/>
    <mergeCell ref="A46:B46"/>
  </mergeCells>
  <pageMargins left="0.7" right="0.7" top="0.75" bottom="0.75" header="0.3" footer="0.3"/>
  <pageSetup paperSize="9" orientation="portrait" r:id="rId1"/>
  <headerFooter>
    <oddFooter>&amp;C&amp;N&amp;N&amp;P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E1D162-2C67-4546-BE08-EC84120949F4}">
          <x14:formula1>
            <xm:f>data!$A$2:$A$6</xm:f>
          </x14:formula1>
          <xm:sqref>B85 B81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895A0-DDAF-4193-A055-E86E8E6DF878}">
  <dimension ref="A1:A6"/>
  <sheetViews>
    <sheetView workbookViewId="0">
      <selection activeCell="A7" sqref="A7"/>
    </sheetView>
  </sheetViews>
  <sheetFormatPr defaultRowHeight="14.5" x14ac:dyDescent="0.35"/>
  <cols>
    <col min="1" max="1" width="12.36328125" bestFit="1" customWidth="1"/>
  </cols>
  <sheetData>
    <row r="1" spans="1:1" x14ac:dyDescent="0.35">
      <c r="A1" t="s">
        <v>72</v>
      </c>
    </row>
    <row r="2" spans="1:1" x14ac:dyDescent="0.35">
      <c r="A2" t="s">
        <v>71</v>
      </c>
    </row>
    <row r="3" spans="1:1" x14ac:dyDescent="0.35">
      <c r="A3" t="s">
        <v>73</v>
      </c>
    </row>
    <row r="4" spans="1:1" x14ac:dyDescent="0.35">
      <c r="A4" t="s">
        <v>50</v>
      </c>
    </row>
    <row r="5" spans="1:1" x14ac:dyDescent="0.35">
      <c r="A5" t="s">
        <v>74</v>
      </c>
    </row>
    <row r="6" spans="1:1" x14ac:dyDescent="0.35">
      <c r="A6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9DD9-6FAB-4D50-8545-08BE5BAEEE30}">
  <dimension ref="A1:P179"/>
  <sheetViews>
    <sheetView topLeftCell="E1" workbookViewId="0">
      <selection activeCell="G16" sqref="G16"/>
    </sheetView>
  </sheetViews>
  <sheetFormatPr defaultRowHeight="14.5" x14ac:dyDescent="0.35"/>
  <cols>
    <col min="3" max="3" width="11.81640625" bestFit="1" customWidth="1"/>
    <col min="4" max="4" width="12.1796875" bestFit="1" customWidth="1"/>
    <col min="5" max="5" width="6.54296875" bestFit="1" customWidth="1"/>
    <col min="6" max="6" width="39.6328125" bestFit="1" customWidth="1"/>
    <col min="7" max="7" width="38.08984375" bestFit="1" customWidth="1"/>
    <col min="8" max="8" width="8.81640625" bestFit="1" customWidth="1"/>
    <col min="9" max="9" width="4.90625" style="24" bestFit="1" customWidth="1"/>
    <col min="10" max="10" width="8.90625" bestFit="1" customWidth="1"/>
    <col min="11" max="11" width="7.90625" bestFit="1" customWidth="1"/>
    <col min="12" max="12" width="22.1796875" bestFit="1" customWidth="1"/>
    <col min="13" max="13" width="5.26953125" bestFit="1" customWidth="1"/>
    <col min="14" max="14" width="5.1796875" style="24" bestFit="1" customWidth="1"/>
    <col min="15" max="15" width="9.26953125" bestFit="1" customWidth="1"/>
    <col min="16" max="16" width="7.90625" bestFit="1" customWidth="1"/>
  </cols>
  <sheetData>
    <row r="1" spans="1:16" x14ac:dyDescent="0.35">
      <c r="A1" t="s">
        <v>76</v>
      </c>
    </row>
    <row r="4" spans="1:16" x14ac:dyDescent="0.35">
      <c r="C4" s="21" t="s">
        <v>77</v>
      </c>
      <c r="D4" s="21" t="s">
        <v>78</v>
      </c>
      <c r="E4" s="21" t="s">
        <v>79</v>
      </c>
      <c r="F4" s="21" t="s">
        <v>80</v>
      </c>
      <c r="G4" s="21" t="s">
        <v>81</v>
      </c>
      <c r="H4" s="21" t="s">
        <v>82</v>
      </c>
      <c r="I4" s="8" t="s">
        <v>83</v>
      </c>
      <c r="J4" s="21" t="s">
        <v>84</v>
      </c>
      <c r="K4" s="21" t="s">
        <v>85</v>
      </c>
      <c r="L4" s="21" t="s">
        <v>86</v>
      </c>
      <c r="M4" s="21" t="s">
        <v>87</v>
      </c>
      <c r="N4" s="8" t="s">
        <v>88</v>
      </c>
      <c r="O4" s="21" t="s">
        <v>89</v>
      </c>
      <c r="P4" s="21" t="s">
        <v>85</v>
      </c>
    </row>
    <row r="5" spans="1:16" x14ac:dyDescent="0.35">
      <c r="C5" s="21">
        <v>10031909471</v>
      </c>
      <c r="D5" s="21" t="s">
        <v>90</v>
      </c>
      <c r="E5" s="21">
        <v>1</v>
      </c>
      <c r="F5" s="21" t="s">
        <v>91</v>
      </c>
      <c r="G5" s="21" t="s">
        <v>92</v>
      </c>
      <c r="H5" s="25">
        <v>2800</v>
      </c>
      <c r="I5" s="8" t="s">
        <v>93</v>
      </c>
      <c r="J5" s="20">
        <v>46182</v>
      </c>
      <c r="K5" s="26">
        <v>0.79745370370370372</v>
      </c>
      <c r="L5" s="21" t="s">
        <v>94</v>
      </c>
      <c r="M5" s="21">
        <v>63</v>
      </c>
      <c r="N5" s="8" t="s">
        <v>95</v>
      </c>
      <c r="O5" s="20">
        <v>46182</v>
      </c>
      <c r="P5" s="26">
        <v>0.95832175925925922</v>
      </c>
    </row>
    <row r="6" spans="1:16" x14ac:dyDescent="0.35">
      <c r="C6" s="21">
        <v>10031908535</v>
      </c>
      <c r="D6" s="21" t="s">
        <v>96</v>
      </c>
      <c r="E6" s="21">
        <v>1</v>
      </c>
      <c r="F6" s="21" t="s">
        <v>97</v>
      </c>
      <c r="G6" s="21" t="s">
        <v>98</v>
      </c>
      <c r="H6" s="21">
        <v>624</v>
      </c>
      <c r="I6" s="8" t="s">
        <v>99</v>
      </c>
      <c r="J6" s="20">
        <v>46182</v>
      </c>
      <c r="K6" s="26">
        <v>0.74304398148148143</v>
      </c>
      <c r="L6" s="21" t="s">
        <v>94</v>
      </c>
      <c r="M6" s="21">
        <v>43</v>
      </c>
      <c r="N6" s="8" t="s">
        <v>95</v>
      </c>
      <c r="O6" s="20">
        <v>46182</v>
      </c>
      <c r="P6" s="26">
        <v>0.95831018518518518</v>
      </c>
    </row>
    <row r="7" spans="1:16" x14ac:dyDescent="0.35">
      <c r="C7" s="21">
        <v>10031909440</v>
      </c>
      <c r="D7" s="21" t="s">
        <v>100</v>
      </c>
      <c r="E7" s="21">
        <v>1</v>
      </c>
      <c r="F7" s="21" t="s">
        <v>101</v>
      </c>
      <c r="G7" s="21" t="s">
        <v>92</v>
      </c>
      <c r="H7" s="25">
        <v>5200</v>
      </c>
      <c r="I7" s="8" t="s">
        <v>93</v>
      </c>
      <c r="J7" s="20">
        <v>46182</v>
      </c>
      <c r="K7" s="26">
        <v>0.79737268518518523</v>
      </c>
      <c r="L7" s="21" t="s">
        <v>94</v>
      </c>
      <c r="M7" s="21">
        <v>43</v>
      </c>
      <c r="N7" s="8" t="s">
        <v>102</v>
      </c>
      <c r="O7" s="20">
        <v>46182</v>
      </c>
      <c r="P7" s="26">
        <v>0.95681712962962961</v>
      </c>
    </row>
    <row r="8" spans="1:16" x14ac:dyDescent="0.35">
      <c r="C8" s="21">
        <v>10031909352</v>
      </c>
      <c r="D8" s="21" t="s">
        <v>103</v>
      </c>
      <c r="E8" s="21">
        <v>1</v>
      </c>
      <c r="F8" s="21" t="s">
        <v>104</v>
      </c>
      <c r="G8" s="21" t="s">
        <v>92</v>
      </c>
      <c r="H8" s="25">
        <v>3000</v>
      </c>
      <c r="I8" s="8" t="s">
        <v>93</v>
      </c>
      <c r="J8" s="20">
        <v>46182</v>
      </c>
      <c r="K8" s="26">
        <v>0.7971759259259259</v>
      </c>
      <c r="L8" s="21" t="s">
        <v>94</v>
      </c>
      <c r="M8" s="21">
        <v>43</v>
      </c>
      <c r="N8" s="8" t="s">
        <v>102</v>
      </c>
      <c r="O8" s="20">
        <v>46182</v>
      </c>
      <c r="P8" s="26">
        <v>0.95680555555555558</v>
      </c>
    </row>
    <row r="9" spans="1:16" x14ac:dyDescent="0.35">
      <c r="C9" s="21">
        <v>10031908977</v>
      </c>
      <c r="D9" s="21" t="s">
        <v>105</v>
      </c>
      <c r="E9" s="21">
        <v>7</v>
      </c>
      <c r="F9" s="21" t="s">
        <v>106</v>
      </c>
      <c r="G9" s="21" t="s">
        <v>107</v>
      </c>
      <c r="H9" s="21">
        <v>320</v>
      </c>
      <c r="I9" s="8" t="s">
        <v>99</v>
      </c>
      <c r="J9" s="20">
        <v>46182</v>
      </c>
      <c r="K9" s="26">
        <v>0.78353009259259254</v>
      </c>
      <c r="L9" s="21" t="s">
        <v>94</v>
      </c>
      <c r="M9" s="21">
        <v>50</v>
      </c>
      <c r="N9" s="8" t="s">
        <v>102</v>
      </c>
      <c r="O9" s="20">
        <v>46182</v>
      </c>
      <c r="P9" s="26">
        <v>0.95680555555555558</v>
      </c>
    </row>
    <row r="10" spans="1:16" x14ac:dyDescent="0.35">
      <c r="C10" s="21">
        <v>10031909474</v>
      </c>
      <c r="D10" s="21" t="s">
        <v>108</v>
      </c>
      <c r="E10" s="21">
        <v>1</v>
      </c>
      <c r="F10" s="21" t="s">
        <v>109</v>
      </c>
      <c r="G10" s="21" t="s">
        <v>92</v>
      </c>
      <c r="H10" s="25">
        <v>3000</v>
      </c>
      <c r="I10" s="8" t="s">
        <v>93</v>
      </c>
      <c r="J10" s="20">
        <v>46182</v>
      </c>
      <c r="K10" s="26">
        <v>0.79745370370370372</v>
      </c>
      <c r="L10" s="21" t="s">
        <v>94</v>
      </c>
      <c r="M10" s="21">
        <v>43</v>
      </c>
      <c r="N10" s="8" t="s">
        <v>110</v>
      </c>
      <c r="O10" s="20">
        <v>46182</v>
      </c>
      <c r="P10" s="26">
        <v>0.95646990740740745</v>
      </c>
    </row>
    <row r="11" spans="1:16" x14ac:dyDescent="0.35">
      <c r="C11" s="21">
        <v>10031909147</v>
      </c>
      <c r="D11" s="21" t="s">
        <v>111</v>
      </c>
      <c r="E11" s="21">
        <v>1</v>
      </c>
      <c r="F11" s="21" t="s">
        <v>112</v>
      </c>
      <c r="G11" s="21" t="s">
        <v>113</v>
      </c>
      <c r="H11" s="25">
        <v>10000</v>
      </c>
      <c r="I11" s="8" t="s">
        <v>93</v>
      </c>
      <c r="J11" s="20">
        <v>46182</v>
      </c>
      <c r="K11" s="26">
        <v>0.79670138888888886</v>
      </c>
      <c r="L11" s="21" t="s">
        <v>94</v>
      </c>
      <c r="M11" s="21">
        <v>22</v>
      </c>
      <c r="N11" s="8" t="s">
        <v>95</v>
      </c>
      <c r="O11" s="20">
        <v>46182</v>
      </c>
      <c r="P11" s="26">
        <v>0.95601851851851849</v>
      </c>
    </row>
    <row r="12" spans="1:16" x14ac:dyDescent="0.35">
      <c r="C12" s="21">
        <v>10031909085</v>
      </c>
      <c r="D12" s="21" t="s">
        <v>114</v>
      </c>
      <c r="E12" s="21">
        <v>12</v>
      </c>
      <c r="F12" s="21" t="s">
        <v>115</v>
      </c>
      <c r="G12" s="21" t="s">
        <v>116</v>
      </c>
      <c r="H12" s="21">
        <v>260</v>
      </c>
      <c r="I12" s="8" t="s">
        <v>93</v>
      </c>
      <c r="J12" s="20">
        <v>46182</v>
      </c>
      <c r="K12" s="26">
        <v>0.78538194444444442</v>
      </c>
      <c r="L12" s="21" t="s">
        <v>94</v>
      </c>
      <c r="M12" s="21">
        <v>100</v>
      </c>
      <c r="N12" s="8" t="s">
        <v>95</v>
      </c>
      <c r="O12" s="20">
        <v>46182</v>
      </c>
      <c r="P12" s="26">
        <v>0.95601851851851849</v>
      </c>
    </row>
    <row r="13" spans="1:16" x14ac:dyDescent="0.35">
      <c r="C13" s="21">
        <v>10031909083</v>
      </c>
      <c r="D13" s="21" t="s">
        <v>117</v>
      </c>
      <c r="E13" s="21">
        <v>3</v>
      </c>
      <c r="F13" s="21" t="s">
        <v>118</v>
      </c>
      <c r="G13" s="21" t="s">
        <v>116</v>
      </c>
      <c r="H13" s="21">
        <v>2</v>
      </c>
      <c r="I13" s="8" t="s">
        <v>93</v>
      </c>
      <c r="J13" s="20">
        <v>46182</v>
      </c>
      <c r="K13" s="26">
        <v>0.78537037037037039</v>
      </c>
      <c r="L13" s="21" t="s">
        <v>94</v>
      </c>
      <c r="M13" s="21">
        <v>100</v>
      </c>
      <c r="N13" s="8" t="s">
        <v>95</v>
      </c>
      <c r="O13" s="20">
        <v>46182</v>
      </c>
      <c r="P13" s="26">
        <v>0.95600694444444445</v>
      </c>
    </row>
    <row r="14" spans="1:16" x14ac:dyDescent="0.35">
      <c r="C14" s="21">
        <v>10031909077</v>
      </c>
      <c r="D14" s="21" t="s">
        <v>119</v>
      </c>
      <c r="E14" s="21">
        <v>11</v>
      </c>
      <c r="F14" s="21" t="s">
        <v>120</v>
      </c>
      <c r="G14" s="21" t="s">
        <v>116</v>
      </c>
      <c r="H14" s="21">
        <v>374</v>
      </c>
      <c r="I14" s="8" t="s">
        <v>93</v>
      </c>
      <c r="J14" s="20">
        <v>46182</v>
      </c>
      <c r="K14" s="26">
        <v>0.78533564814814816</v>
      </c>
      <c r="L14" s="21" t="s">
        <v>94</v>
      </c>
      <c r="M14" s="21">
        <v>100</v>
      </c>
      <c r="N14" s="8" t="s">
        <v>95</v>
      </c>
      <c r="O14" s="20">
        <v>46182</v>
      </c>
      <c r="P14" s="26">
        <v>0.95600694444444445</v>
      </c>
    </row>
    <row r="15" spans="1:16" x14ac:dyDescent="0.35">
      <c r="C15" s="21">
        <v>10031909071</v>
      </c>
      <c r="D15" s="21" t="s">
        <v>121</v>
      </c>
      <c r="E15" s="21">
        <v>4</v>
      </c>
      <c r="F15" s="21" t="s">
        <v>122</v>
      </c>
      <c r="G15" s="21" t="s">
        <v>116</v>
      </c>
      <c r="H15" s="21">
        <v>200</v>
      </c>
      <c r="I15" s="8" t="s">
        <v>93</v>
      </c>
      <c r="J15" s="20">
        <v>46182</v>
      </c>
      <c r="K15" s="26">
        <v>0.78528935185185189</v>
      </c>
      <c r="L15" s="21" t="s">
        <v>94</v>
      </c>
      <c r="M15" s="21">
        <v>100</v>
      </c>
      <c r="N15" s="8" t="s">
        <v>95</v>
      </c>
      <c r="O15" s="20">
        <v>46182</v>
      </c>
      <c r="P15" s="26">
        <v>0.95599537037037041</v>
      </c>
    </row>
    <row r="16" spans="1:16" x14ac:dyDescent="0.35">
      <c r="C16" s="21">
        <v>10031908526</v>
      </c>
      <c r="D16" s="21" t="s">
        <v>123</v>
      </c>
      <c r="E16" s="21">
        <v>1</v>
      </c>
      <c r="F16" s="21" t="s">
        <v>124</v>
      </c>
      <c r="G16" s="21" t="s">
        <v>125</v>
      </c>
      <c r="H16" s="21">
        <v>432</v>
      </c>
      <c r="I16" s="8" t="s">
        <v>126</v>
      </c>
      <c r="J16" s="20">
        <v>46182</v>
      </c>
      <c r="K16" s="26">
        <v>0.74302083333333335</v>
      </c>
      <c r="L16" s="21" t="s">
        <v>94</v>
      </c>
      <c r="M16" s="21">
        <v>20</v>
      </c>
      <c r="N16" s="8" t="s">
        <v>95</v>
      </c>
      <c r="O16" s="20">
        <v>46182</v>
      </c>
      <c r="P16" s="26">
        <v>0.95598379629629626</v>
      </c>
    </row>
    <row r="17" spans="3:16" x14ac:dyDescent="0.35">
      <c r="C17" s="21">
        <v>10031909517</v>
      </c>
      <c r="D17" s="21" t="s">
        <v>127</v>
      </c>
      <c r="E17" s="21">
        <v>3</v>
      </c>
      <c r="F17" s="21" t="s">
        <v>128</v>
      </c>
      <c r="G17" s="21" t="s">
        <v>116</v>
      </c>
      <c r="H17" s="21">
        <v>660</v>
      </c>
      <c r="I17" s="8" t="s">
        <v>93</v>
      </c>
      <c r="J17" s="20">
        <v>46182</v>
      </c>
      <c r="K17" s="26">
        <v>0.79803240740740744</v>
      </c>
      <c r="L17" s="21" t="s">
        <v>94</v>
      </c>
      <c r="M17" s="21">
        <v>100</v>
      </c>
      <c r="N17" s="8" t="s">
        <v>95</v>
      </c>
      <c r="O17" s="20">
        <v>46182</v>
      </c>
      <c r="P17" s="26">
        <v>0.95368055555555553</v>
      </c>
    </row>
    <row r="18" spans="3:16" x14ac:dyDescent="0.35">
      <c r="C18" s="21">
        <v>10031908511</v>
      </c>
      <c r="D18" s="21" t="s">
        <v>129</v>
      </c>
      <c r="E18" s="21">
        <v>2</v>
      </c>
      <c r="F18" s="21" t="s">
        <v>130</v>
      </c>
      <c r="G18" s="21" t="s">
        <v>125</v>
      </c>
      <c r="H18" s="21">
        <v>144</v>
      </c>
      <c r="I18" s="8" t="s">
        <v>126</v>
      </c>
      <c r="J18" s="20">
        <v>46182</v>
      </c>
      <c r="K18" s="26">
        <v>0.74297453703703709</v>
      </c>
      <c r="L18" s="21" t="s">
        <v>94</v>
      </c>
      <c r="M18" s="21">
        <v>41</v>
      </c>
      <c r="N18" s="8" t="s">
        <v>95</v>
      </c>
      <c r="O18" s="20">
        <v>46182</v>
      </c>
      <c r="P18" s="26">
        <v>0.95366898148148149</v>
      </c>
    </row>
    <row r="19" spans="3:16" x14ac:dyDescent="0.35">
      <c r="C19" s="21">
        <v>10031908863</v>
      </c>
      <c r="D19" s="21" t="s">
        <v>131</v>
      </c>
      <c r="E19" s="21">
        <v>1</v>
      </c>
      <c r="F19" s="21" t="s">
        <v>132</v>
      </c>
      <c r="G19" s="21" t="s">
        <v>133</v>
      </c>
      <c r="H19" s="25">
        <v>4800</v>
      </c>
      <c r="I19" s="8" t="s">
        <v>134</v>
      </c>
      <c r="J19" s="20">
        <v>46182</v>
      </c>
      <c r="K19" s="26">
        <v>0.78226851851851853</v>
      </c>
      <c r="L19" s="21" t="s">
        <v>94</v>
      </c>
      <c r="M19" s="21">
        <v>22</v>
      </c>
      <c r="N19" s="8" t="s">
        <v>102</v>
      </c>
      <c r="O19" s="20">
        <v>46182</v>
      </c>
      <c r="P19" s="26">
        <v>0.95217592592592593</v>
      </c>
    </row>
    <row r="20" spans="3:16" x14ac:dyDescent="0.35">
      <c r="C20" s="21">
        <v>10031908913</v>
      </c>
      <c r="D20" s="21" t="s">
        <v>135</v>
      </c>
      <c r="E20" s="21">
        <v>1</v>
      </c>
      <c r="F20" s="21" t="s">
        <v>136</v>
      </c>
      <c r="G20" s="21" t="s">
        <v>133</v>
      </c>
      <c r="H20" s="21">
        <v>400</v>
      </c>
      <c r="I20" s="8">
        <v>3005</v>
      </c>
      <c r="J20" s="20">
        <v>46182</v>
      </c>
      <c r="K20" s="26">
        <v>0.78228009259259257</v>
      </c>
      <c r="L20" s="21" t="s">
        <v>94</v>
      </c>
      <c r="M20" s="21">
        <v>20</v>
      </c>
      <c r="N20" s="8" t="s">
        <v>110</v>
      </c>
      <c r="O20" s="20">
        <v>46182</v>
      </c>
      <c r="P20" s="26">
        <v>0.95185185185185184</v>
      </c>
    </row>
    <row r="21" spans="3:16" x14ac:dyDescent="0.35">
      <c r="C21" s="21">
        <v>10031908916</v>
      </c>
      <c r="D21" s="21" t="s">
        <v>137</v>
      </c>
      <c r="E21" s="21">
        <v>1</v>
      </c>
      <c r="F21" s="21" t="s">
        <v>138</v>
      </c>
      <c r="G21" s="21" t="s">
        <v>133</v>
      </c>
      <c r="H21" s="25">
        <v>3000</v>
      </c>
      <c r="I21" s="8">
        <v>3005</v>
      </c>
      <c r="J21" s="20">
        <v>46182</v>
      </c>
      <c r="K21" s="26">
        <v>0.78228009259259257</v>
      </c>
      <c r="L21" s="21" t="s">
        <v>94</v>
      </c>
      <c r="M21" s="21">
        <v>20</v>
      </c>
      <c r="N21" s="8" t="s">
        <v>110</v>
      </c>
      <c r="O21" s="20">
        <v>46182</v>
      </c>
      <c r="P21" s="26">
        <v>0.95185185185185184</v>
      </c>
    </row>
    <row r="22" spans="3:16" x14ac:dyDescent="0.35">
      <c r="C22" s="21">
        <v>10031909296</v>
      </c>
      <c r="D22" s="21" t="s">
        <v>139</v>
      </c>
      <c r="E22" s="21">
        <v>1</v>
      </c>
      <c r="F22" s="21" t="s">
        <v>140</v>
      </c>
      <c r="G22" s="21" t="s">
        <v>92</v>
      </c>
      <c r="H22" s="25">
        <v>5800</v>
      </c>
      <c r="I22" s="8" t="s">
        <v>141</v>
      </c>
      <c r="J22" s="20">
        <v>46182</v>
      </c>
      <c r="K22" s="26">
        <v>0.79704861111111114</v>
      </c>
      <c r="L22" s="21" t="s">
        <v>94</v>
      </c>
      <c r="M22" s="21">
        <v>63</v>
      </c>
      <c r="N22" s="8" t="s">
        <v>102</v>
      </c>
      <c r="O22" s="20">
        <v>46182</v>
      </c>
      <c r="P22" s="26">
        <v>0.94987268518518519</v>
      </c>
    </row>
    <row r="23" spans="3:16" x14ac:dyDescent="0.35">
      <c r="C23" s="21">
        <v>10031909149</v>
      </c>
      <c r="D23" s="21" t="s">
        <v>142</v>
      </c>
      <c r="E23" s="21">
        <v>1</v>
      </c>
      <c r="F23" s="21" t="s">
        <v>143</v>
      </c>
      <c r="G23" s="21" t="s">
        <v>92</v>
      </c>
      <c r="H23" s="25">
        <v>8000</v>
      </c>
      <c r="I23" s="8" t="s">
        <v>126</v>
      </c>
      <c r="J23" s="20">
        <v>46182</v>
      </c>
      <c r="K23" s="26">
        <v>0.79670138888888886</v>
      </c>
      <c r="L23" s="21" t="s">
        <v>94</v>
      </c>
      <c r="M23" s="21">
        <v>43</v>
      </c>
      <c r="N23" s="8" t="s">
        <v>102</v>
      </c>
      <c r="O23" s="20">
        <v>46182</v>
      </c>
      <c r="P23" s="26">
        <v>0.94987268518518519</v>
      </c>
    </row>
    <row r="24" spans="3:16" x14ac:dyDescent="0.35">
      <c r="C24" s="21">
        <v>10031909150</v>
      </c>
      <c r="D24" s="21" t="s">
        <v>144</v>
      </c>
      <c r="E24" s="21">
        <v>1</v>
      </c>
      <c r="F24" s="21" t="s">
        <v>145</v>
      </c>
      <c r="G24" s="21" t="s">
        <v>92</v>
      </c>
      <c r="H24" s="25">
        <v>7400</v>
      </c>
      <c r="I24" s="8" t="s">
        <v>126</v>
      </c>
      <c r="J24" s="20">
        <v>46182</v>
      </c>
      <c r="K24" s="26">
        <v>0.79671296296296301</v>
      </c>
      <c r="L24" s="21" t="s">
        <v>94</v>
      </c>
      <c r="M24" s="21">
        <v>43</v>
      </c>
      <c r="N24" s="8" t="s">
        <v>102</v>
      </c>
      <c r="O24" s="20">
        <v>46182</v>
      </c>
      <c r="P24" s="26">
        <v>0.94756944444444446</v>
      </c>
    </row>
    <row r="25" spans="3:16" x14ac:dyDescent="0.35">
      <c r="C25" s="21">
        <v>10031904204</v>
      </c>
      <c r="D25" s="21" t="s">
        <v>146</v>
      </c>
      <c r="E25" s="21">
        <v>1</v>
      </c>
      <c r="F25" s="21" t="s">
        <v>147</v>
      </c>
      <c r="G25" s="21" t="s">
        <v>133</v>
      </c>
      <c r="H25" s="21">
        <v>665</v>
      </c>
      <c r="I25" s="8" t="s">
        <v>134</v>
      </c>
      <c r="J25" s="20">
        <v>46182</v>
      </c>
      <c r="K25" s="26">
        <v>0.47746527777777775</v>
      </c>
      <c r="L25" s="21" t="s">
        <v>94</v>
      </c>
      <c r="M25" s="21">
        <v>20</v>
      </c>
      <c r="N25" s="8" t="s">
        <v>110</v>
      </c>
      <c r="O25" s="20">
        <v>46182</v>
      </c>
      <c r="P25" s="26">
        <v>0.94724537037037038</v>
      </c>
    </row>
    <row r="26" spans="3:16" x14ac:dyDescent="0.35">
      <c r="C26" s="21">
        <v>10031907130</v>
      </c>
      <c r="D26" s="21" t="s">
        <v>148</v>
      </c>
      <c r="E26" s="21">
        <v>1</v>
      </c>
      <c r="F26" s="21" t="s">
        <v>149</v>
      </c>
      <c r="G26" s="21" t="s">
        <v>150</v>
      </c>
      <c r="H26" s="21">
        <v>108</v>
      </c>
      <c r="I26" s="8">
        <v>3005</v>
      </c>
      <c r="J26" s="20">
        <v>46182</v>
      </c>
      <c r="K26" s="26">
        <v>0.68532407407407403</v>
      </c>
      <c r="L26" s="21" t="s">
        <v>94</v>
      </c>
      <c r="M26" s="21">
        <v>100</v>
      </c>
      <c r="N26" s="8" t="s">
        <v>95</v>
      </c>
      <c r="O26" s="20">
        <v>46182</v>
      </c>
      <c r="P26" s="26">
        <v>0.94673611111111111</v>
      </c>
    </row>
    <row r="27" spans="3:16" x14ac:dyDescent="0.35">
      <c r="C27" s="21">
        <v>10031909523</v>
      </c>
      <c r="D27" s="21" t="s">
        <v>151</v>
      </c>
      <c r="E27" s="21">
        <v>4</v>
      </c>
      <c r="F27" s="21" t="s">
        <v>152</v>
      </c>
      <c r="G27" s="21" t="s">
        <v>153</v>
      </c>
      <c r="H27" s="21">
        <v>384</v>
      </c>
      <c r="I27" s="8" t="s">
        <v>99</v>
      </c>
      <c r="J27" s="20">
        <v>46182</v>
      </c>
      <c r="K27" s="26">
        <v>0.80204861111111114</v>
      </c>
      <c r="L27" s="21" t="s">
        <v>94</v>
      </c>
      <c r="M27" s="21">
        <v>50</v>
      </c>
      <c r="N27" s="8" t="s">
        <v>102</v>
      </c>
      <c r="O27" s="20">
        <v>46182</v>
      </c>
      <c r="P27" s="26">
        <v>0.93840277777777781</v>
      </c>
    </row>
    <row r="28" spans="3:16" x14ac:dyDescent="0.35">
      <c r="C28" s="21">
        <v>10031909524</v>
      </c>
      <c r="D28" s="21" t="s">
        <v>151</v>
      </c>
      <c r="E28" s="21">
        <v>4</v>
      </c>
      <c r="F28" s="21" t="s">
        <v>152</v>
      </c>
      <c r="G28" s="21" t="s">
        <v>153</v>
      </c>
      <c r="H28" s="21">
        <v>192</v>
      </c>
      <c r="I28" s="8" t="s">
        <v>99</v>
      </c>
      <c r="J28" s="20">
        <v>46182</v>
      </c>
      <c r="K28" s="26">
        <v>0.80206018518518518</v>
      </c>
      <c r="L28" s="21" t="s">
        <v>94</v>
      </c>
      <c r="M28" s="21">
        <v>50</v>
      </c>
      <c r="N28" s="8" t="s">
        <v>102</v>
      </c>
      <c r="O28" s="20">
        <v>46182</v>
      </c>
      <c r="P28" s="26">
        <v>0.93840277777777781</v>
      </c>
    </row>
    <row r="29" spans="3:16" x14ac:dyDescent="0.35">
      <c r="C29" s="21">
        <v>10031909525</v>
      </c>
      <c r="D29" s="21" t="s">
        <v>151</v>
      </c>
      <c r="E29" s="21">
        <v>4</v>
      </c>
      <c r="F29" s="21" t="s">
        <v>152</v>
      </c>
      <c r="G29" s="21" t="s">
        <v>153</v>
      </c>
      <c r="H29" s="21">
        <v>192</v>
      </c>
      <c r="I29" s="8" t="s">
        <v>99</v>
      </c>
      <c r="J29" s="20">
        <v>46182</v>
      </c>
      <c r="K29" s="26">
        <v>0.80206018518518518</v>
      </c>
      <c r="L29" s="21" t="s">
        <v>94</v>
      </c>
      <c r="M29" s="21">
        <v>50</v>
      </c>
      <c r="N29" s="8" t="s">
        <v>102</v>
      </c>
      <c r="O29" s="20">
        <v>46182</v>
      </c>
      <c r="P29" s="26">
        <v>0.93840277777777781</v>
      </c>
    </row>
    <row r="30" spans="3:16" x14ac:dyDescent="0.35">
      <c r="C30" s="21">
        <v>10031909166</v>
      </c>
      <c r="D30" s="21" t="s">
        <v>154</v>
      </c>
      <c r="E30" s="21">
        <v>1</v>
      </c>
      <c r="F30" s="21" t="s">
        <v>155</v>
      </c>
      <c r="G30" s="21" t="s">
        <v>92</v>
      </c>
      <c r="H30" s="25">
        <v>1000</v>
      </c>
      <c r="I30" s="8" t="s">
        <v>93</v>
      </c>
      <c r="J30" s="20">
        <v>46182</v>
      </c>
      <c r="K30" s="26">
        <v>0.79674768518518524</v>
      </c>
      <c r="L30" s="21" t="s">
        <v>94</v>
      </c>
      <c r="M30" s="21">
        <v>22</v>
      </c>
      <c r="N30" s="8" t="s">
        <v>102</v>
      </c>
      <c r="O30" s="20">
        <v>46182</v>
      </c>
      <c r="P30" s="26">
        <v>0.93839120370370366</v>
      </c>
    </row>
    <row r="31" spans="3:16" x14ac:dyDescent="0.35">
      <c r="C31" s="21">
        <v>10031909260</v>
      </c>
      <c r="D31" s="21" t="s">
        <v>156</v>
      </c>
      <c r="E31" s="21">
        <v>1</v>
      </c>
      <c r="F31" s="21" t="s">
        <v>157</v>
      </c>
      <c r="G31" s="21" t="s">
        <v>92</v>
      </c>
      <c r="H31" s="25">
        <v>3200</v>
      </c>
      <c r="I31" s="8" t="s">
        <v>93</v>
      </c>
      <c r="J31" s="20">
        <v>46182</v>
      </c>
      <c r="K31" s="26">
        <v>0.79696759259259264</v>
      </c>
      <c r="L31" s="21" t="s">
        <v>94</v>
      </c>
      <c r="M31" s="21">
        <v>43</v>
      </c>
      <c r="N31" s="8" t="s">
        <v>102</v>
      </c>
      <c r="O31" s="20">
        <v>46182</v>
      </c>
      <c r="P31" s="26">
        <v>0.93839120370370366</v>
      </c>
    </row>
    <row r="32" spans="3:16" x14ac:dyDescent="0.35">
      <c r="C32" s="21">
        <v>10031909285</v>
      </c>
      <c r="D32" s="21" t="s">
        <v>158</v>
      </c>
      <c r="E32" s="21">
        <v>1</v>
      </c>
      <c r="F32" s="21" t="s">
        <v>159</v>
      </c>
      <c r="G32" s="21" t="s">
        <v>92</v>
      </c>
      <c r="H32" s="25">
        <v>2800</v>
      </c>
      <c r="I32" s="8" t="s">
        <v>93</v>
      </c>
      <c r="J32" s="20">
        <v>46182</v>
      </c>
      <c r="K32" s="26">
        <v>0.79702546296296295</v>
      </c>
      <c r="L32" s="21" t="s">
        <v>94</v>
      </c>
      <c r="M32" s="21">
        <v>22</v>
      </c>
      <c r="N32" s="8" t="s">
        <v>102</v>
      </c>
      <c r="O32" s="20">
        <v>46182</v>
      </c>
      <c r="P32" s="26">
        <v>0.93839120370370366</v>
      </c>
    </row>
    <row r="33" spans="3:16" x14ac:dyDescent="0.35">
      <c r="C33" s="21">
        <v>10031909162</v>
      </c>
      <c r="D33" s="21" t="s">
        <v>160</v>
      </c>
      <c r="E33" s="21">
        <v>1</v>
      </c>
      <c r="F33" s="21" t="s">
        <v>161</v>
      </c>
      <c r="G33" s="21" t="s">
        <v>92</v>
      </c>
      <c r="H33" s="25">
        <v>4000</v>
      </c>
      <c r="I33" s="8" t="s">
        <v>93</v>
      </c>
      <c r="J33" s="20">
        <v>46182</v>
      </c>
      <c r="K33" s="26">
        <v>0.79673611111111109</v>
      </c>
      <c r="L33" s="21" t="s">
        <v>94</v>
      </c>
      <c r="M33" s="21">
        <v>43</v>
      </c>
      <c r="N33" s="8" t="s">
        <v>102</v>
      </c>
      <c r="O33" s="20">
        <v>46182</v>
      </c>
      <c r="P33" s="26">
        <v>0.93837962962962962</v>
      </c>
    </row>
    <row r="34" spans="3:16" x14ac:dyDescent="0.35">
      <c r="C34" s="21">
        <v>10031908951</v>
      </c>
      <c r="D34" s="21" t="s">
        <v>151</v>
      </c>
      <c r="E34" s="21">
        <v>4</v>
      </c>
      <c r="F34" s="21" t="s">
        <v>152</v>
      </c>
      <c r="G34" s="21" t="s">
        <v>153</v>
      </c>
      <c r="H34" s="21">
        <v>108</v>
      </c>
      <c r="I34" s="8" t="s">
        <v>99</v>
      </c>
      <c r="J34" s="20">
        <v>46182</v>
      </c>
      <c r="K34" s="26">
        <v>0.7834606481481482</v>
      </c>
      <c r="L34" s="21" t="s">
        <v>94</v>
      </c>
      <c r="M34" s="21">
        <v>50</v>
      </c>
      <c r="N34" s="8" t="s">
        <v>102</v>
      </c>
      <c r="O34" s="20">
        <v>46182</v>
      </c>
      <c r="P34" s="26">
        <v>0.93837962962962962</v>
      </c>
    </row>
    <row r="35" spans="3:16" x14ac:dyDescent="0.35">
      <c r="C35" s="21">
        <v>10031908483</v>
      </c>
      <c r="D35" s="21" t="s">
        <v>151</v>
      </c>
      <c r="E35" s="21">
        <v>4</v>
      </c>
      <c r="F35" s="21" t="s">
        <v>152</v>
      </c>
      <c r="G35" s="21" t="s">
        <v>153</v>
      </c>
      <c r="H35" s="21">
        <v>384</v>
      </c>
      <c r="I35" s="8" t="s">
        <v>99</v>
      </c>
      <c r="J35" s="20">
        <v>46182</v>
      </c>
      <c r="K35" s="26">
        <v>0.74288194444444444</v>
      </c>
      <c r="L35" s="21" t="s">
        <v>94</v>
      </c>
      <c r="M35" s="21">
        <v>50</v>
      </c>
      <c r="N35" s="8" t="s">
        <v>95</v>
      </c>
      <c r="O35" s="20">
        <v>46182</v>
      </c>
      <c r="P35" s="26">
        <v>0.93754629629629627</v>
      </c>
    </row>
    <row r="36" spans="3:16" x14ac:dyDescent="0.35">
      <c r="C36" s="21">
        <v>10031909276</v>
      </c>
      <c r="D36" s="21" t="s">
        <v>162</v>
      </c>
      <c r="E36" s="21">
        <v>1</v>
      </c>
      <c r="F36" s="21" t="s">
        <v>163</v>
      </c>
      <c r="G36" s="21" t="s">
        <v>92</v>
      </c>
      <c r="H36" s="25">
        <v>3200</v>
      </c>
      <c r="I36" s="8" t="s">
        <v>93</v>
      </c>
      <c r="J36" s="20">
        <v>46182</v>
      </c>
      <c r="K36" s="26">
        <v>0.79700231481481476</v>
      </c>
      <c r="L36" s="21" t="s">
        <v>94</v>
      </c>
      <c r="M36" s="21">
        <v>50</v>
      </c>
      <c r="N36" s="8" t="s">
        <v>102</v>
      </c>
      <c r="O36" s="20">
        <v>46182</v>
      </c>
      <c r="P36" s="26">
        <v>0.9360532407407407</v>
      </c>
    </row>
    <row r="37" spans="3:16" x14ac:dyDescent="0.35">
      <c r="C37" s="21">
        <v>10031909283</v>
      </c>
      <c r="D37" s="21" t="s">
        <v>164</v>
      </c>
      <c r="E37" s="21">
        <v>1</v>
      </c>
      <c r="F37" s="21" t="s">
        <v>165</v>
      </c>
      <c r="G37" s="21" t="s">
        <v>92</v>
      </c>
      <c r="H37" s="25">
        <v>2800</v>
      </c>
      <c r="I37" s="8" t="s">
        <v>93</v>
      </c>
      <c r="J37" s="20">
        <v>46182</v>
      </c>
      <c r="K37" s="26">
        <v>0.79701388888888891</v>
      </c>
      <c r="L37" s="21" t="s">
        <v>94</v>
      </c>
      <c r="M37" s="21">
        <v>50</v>
      </c>
      <c r="N37" s="8" t="s">
        <v>102</v>
      </c>
      <c r="O37" s="20">
        <v>46182</v>
      </c>
      <c r="P37" s="26">
        <v>0.9360532407407407</v>
      </c>
    </row>
    <row r="38" spans="3:16" x14ac:dyDescent="0.35">
      <c r="C38" s="21">
        <v>10031909288</v>
      </c>
      <c r="D38" s="21" t="s">
        <v>166</v>
      </c>
      <c r="E38" s="21">
        <v>1</v>
      </c>
      <c r="F38" s="21" t="s">
        <v>167</v>
      </c>
      <c r="G38" s="21" t="s">
        <v>92</v>
      </c>
      <c r="H38" s="25">
        <v>3200</v>
      </c>
      <c r="I38" s="8" t="s">
        <v>93</v>
      </c>
      <c r="J38" s="20">
        <v>46182</v>
      </c>
      <c r="K38" s="26">
        <v>0.79702546296296295</v>
      </c>
      <c r="L38" s="21" t="s">
        <v>94</v>
      </c>
      <c r="M38" s="21">
        <v>43</v>
      </c>
      <c r="N38" s="8" t="s">
        <v>102</v>
      </c>
      <c r="O38" s="20">
        <v>46182</v>
      </c>
      <c r="P38" s="26">
        <v>0.9360532407407407</v>
      </c>
    </row>
    <row r="39" spans="3:16" x14ac:dyDescent="0.35">
      <c r="C39" s="21">
        <v>10031909251</v>
      </c>
      <c r="D39" s="21" t="s">
        <v>168</v>
      </c>
      <c r="E39" s="21">
        <v>1</v>
      </c>
      <c r="F39" s="21" t="s">
        <v>169</v>
      </c>
      <c r="G39" s="21" t="s">
        <v>92</v>
      </c>
      <c r="H39" s="25">
        <v>28400</v>
      </c>
      <c r="I39" s="8" t="s">
        <v>93</v>
      </c>
      <c r="J39" s="20">
        <v>46182</v>
      </c>
      <c r="K39" s="26">
        <v>0.79694444444444446</v>
      </c>
      <c r="L39" s="21" t="s">
        <v>94</v>
      </c>
      <c r="M39" s="21">
        <v>43</v>
      </c>
      <c r="N39" s="8" t="s">
        <v>102</v>
      </c>
      <c r="O39" s="20">
        <v>46182</v>
      </c>
      <c r="P39" s="26">
        <v>0.93604166666666666</v>
      </c>
    </row>
    <row r="40" spans="3:16" x14ac:dyDescent="0.35">
      <c r="C40" s="21">
        <v>10031909259</v>
      </c>
      <c r="D40" s="21" t="s">
        <v>170</v>
      </c>
      <c r="E40" s="21">
        <v>1</v>
      </c>
      <c r="F40" s="21" t="s">
        <v>171</v>
      </c>
      <c r="G40" s="21" t="s">
        <v>92</v>
      </c>
      <c r="H40" s="25">
        <v>3000</v>
      </c>
      <c r="I40" s="8" t="s">
        <v>93</v>
      </c>
      <c r="J40" s="20">
        <v>46182</v>
      </c>
      <c r="K40" s="26">
        <v>0.79696759259259264</v>
      </c>
      <c r="L40" s="21" t="s">
        <v>94</v>
      </c>
      <c r="M40" s="21">
        <v>50</v>
      </c>
      <c r="N40" s="8" t="s">
        <v>102</v>
      </c>
      <c r="O40" s="20">
        <v>46182</v>
      </c>
      <c r="P40" s="26">
        <v>0.93604166666666666</v>
      </c>
    </row>
    <row r="41" spans="3:16" x14ac:dyDescent="0.35">
      <c r="C41" s="21">
        <v>10031909232</v>
      </c>
      <c r="D41" s="21" t="s">
        <v>172</v>
      </c>
      <c r="E41" s="21">
        <v>1</v>
      </c>
      <c r="F41" s="21" t="s">
        <v>173</v>
      </c>
      <c r="G41" s="21" t="s">
        <v>92</v>
      </c>
      <c r="H41" s="25">
        <v>1800</v>
      </c>
      <c r="I41" s="8" t="s">
        <v>93</v>
      </c>
      <c r="J41" s="20">
        <v>46182</v>
      </c>
      <c r="K41" s="26">
        <v>0.79690972222222223</v>
      </c>
      <c r="L41" s="21" t="s">
        <v>94</v>
      </c>
      <c r="M41" s="21">
        <v>22</v>
      </c>
      <c r="N41" s="8" t="s">
        <v>102</v>
      </c>
      <c r="O41" s="20">
        <v>46182</v>
      </c>
      <c r="P41" s="26">
        <v>0.93603009259259262</v>
      </c>
    </row>
    <row r="42" spans="3:16" x14ac:dyDescent="0.35">
      <c r="C42" s="21">
        <v>10031909234</v>
      </c>
      <c r="D42" s="21" t="s">
        <v>174</v>
      </c>
      <c r="E42" s="21">
        <v>1</v>
      </c>
      <c r="F42" s="21" t="s">
        <v>175</v>
      </c>
      <c r="G42" s="21" t="s">
        <v>92</v>
      </c>
      <c r="H42" s="25">
        <v>6200</v>
      </c>
      <c r="I42" s="8" t="s">
        <v>93</v>
      </c>
      <c r="J42" s="20">
        <v>46182</v>
      </c>
      <c r="K42" s="26">
        <v>0.79690972222222223</v>
      </c>
      <c r="L42" s="21" t="s">
        <v>94</v>
      </c>
      <c r="M42" s="21">
        <v>50</v>
      </c>
      <c r="N42" s="8" t="s">
        <v>102</v>
      </c>
      <c r="O42" s="20">
        <v>46182</v>
      </c>
      <c r="P42" s="26">
        <v>0.93603009259259262</v>
      </c>
    </row>
    <row r="43" spans="3:16" x14ac:dyDescent="0.35">
      <c r="C43" s="21">
        <v>10031909246</v>
      </c>
      <c r="D43" s="21" t="s">
        <v>176</v>
      </c>
      <c r="E43" s="21">
        <v>1</v>
      </c>
      <c r="F43" s="21" t="s">
        <v>177</v>
      </c>
      <c r="G43" s="21" t="s">
        <v>92</v>
      </c>
      <c r="H43" s="25">
        <v>1600</v>
      </c>
      <c r="I43" s="8" t="s">
        <v>93</v>
      </c>
      <c r="J43" s="20">
        <v>46182</v>
      </c>
      <c r="K43" s="26">
        <v>0.79693287037037042</v>
      </c>
      <c r="L43" s="21" t="s">
        <v>94</v>
      </c>
      <c r="M43" s="21">
        <v>50</v>
      </c>
      <c r="N43" s="8" t="s">
        <v>102</v>
      </c>
      <c r="O43" s="20">
        <v>46182</v>
      </c>
      <c r="P43" s="26">
        <v>0.93603009259259262</v>
      </c>
    </row>
    <row r="44" spans="3:16" x14ac:dyDescent="0.35">
      <c r="C44" s="21">
        <v>10031909230</v>
      </c>
      <c r="D44" s="21" t="s">
        <v>178</v>
      </c>
      <c r="E44" s="21">
        <v>1</v>
      </c>
      <c r="F44" s="21" t="s">
        <v>179</v>
      </c>
      <c r="G44" s="21" t="s">
        <v>92</v>
      </c>
      <c r="H44" s="21">
        <v>800</v>
      </c>
      <c r="I44" s="8" t="s">
        <v>93</v>
      </c>
      <c r="J44" s="20">
        <v>46182</v>
      </c>
      <c r="K44" s="26">
        <v>0.79689814814814819</v>
      </c>
      <c r="L44" s="21" t="s">
        <v>94</v>
      </c>
      <c r="M44" s="21">
        <v>50</v>
      </c>
      <c r="N44" s="8" t="s">
        <v>102</v>
      </c>
      <c r="O44" s="20">
        <v>46182</v>
      </c>
      <c r="P44" s="26">
        <v>0.93601851851851847</v>
      </c>
    </row>
    <row r="45" spans="3:16" x14ac:dyDescent="0.35">
      <c r="C45" s="21">
        <v>10031909386</v>
      </c>
      <c r="D45" s="21" t="s">
        <v>180</v>
      </c>
      <c r="E45" s="21">
        <v>1</v>
      </c>
      <c r="F45" s="21" t="s">
        <v>181</v>
      </c>
      <c r="G45" s="21" t="s">
        <v>98</v>
      </c>
      <c r="H45" s="21">
        <v>616</v>
      </c>
      <c r="I45" s="8" t="s">
        <v>93</v>
      </c>
      <c r="J45" s="20">
        <v>46182</v>
      </c>
      <c r="K45" s="26">
        <v>0.79725694444444439</v>
      </c>
      <c r="L45" s="21" t="s">
        <v>94</v>
      </c>
      <c r="M45" s="21">
        <v>50</v>
      </c>
      <c r="N45" s="8" t="s">
        <v>102</v>
      </c>
      <c r="O45" s="20">
        <v>46182</v>
      </c>
      <c r="P45" s="26">
        <v>0.93369212962962966</v>
      </c>
    </row>
    <row r="46" spans="3:16" x14ac:dyDescent="0.35">
      <c r="C46" s="21">
        <v>10031909320</v>
      </c>
      <c r="D46" s="21" t="s">
        <v>182</v>
      </c>
      <c r="E46" s="21">
        <v>1</v>
      </c>
      <c r="F46" s="21" t="s">
        <v>183</v>
      </c>
      <c r="G46" s="21" t="s">
        <v>92</v>
      </c>
      <c r="H46" s="25">
        <v>10200</v>
      </c>
      <c r="I46" s="8" t="s">
        <v>93</v>
      </c>
      <c r="J46" s="20">
        <v>46182</v>
      </c>
      <c r="K46" s="26">
        <v>0.79710648148148144</v>
      </c>
      <c r="L46" s="21" t="s">
        <v>94</v>
      </c>
      <c r="M46" s="21">
        <v>50</v>
      </c>
      <c r="N46" s="8" t="s">
        <v>102</v>
      </c>
      <c r="O46" s="20">
        <v>46182</v>
      </c>
      <c r="P46" s="26">
        <v>0.93369212962962966</v>
      </c>
    </row>
    <row r="47" spans="3:16" x14ac:dyDescent="0.35">
      <c r="C47" s="21">
        <v>10031909354</v>
      </c>
      <c r="D47" s="21" t="s">
        <v>184</v>
      </c>
      <c r="E47" s="21">
        <v>2</v>
      </c>
      <c r="F47" s="21" t="s">
        <v>185</v>
      </c>
      <c r="G47" s="21" t="s">
        <v>98</v>
      </c>
      <c r="H47" s="21">
        <v>630</v>
      </c>
      <c r="I47" s="8" t="s">
        <v>93</v>
      </c>
      <c r="J47" s="20">
        <v>46182</v>
      </c>
      <c r="K47" s="26">
        <v>0.79718750000000005</v>
      </c>
      <c r="L47" s="21" t="s">
        <v>94</v>
      </c>
      <c r="M47" s="21">
        <v>50</v>
      </c>
      <c r="N47" s="8" t="s">
        <v>102</v>
      </c>
      <c r="O47" s="20">
        <v>46182</v>
      </c>
      <c r="P47" s="26">
        <v>0.93369212962962966</v>
      </c>
    </row>
    <row r="48" spans="3:16" x14ac:dyDescent="0.35">
      <c r="C48" s="21">
        <v>10031909212</v>
      </c>
      <c r="D48" s="21" t="s">
        <v>186</v>
      </c>
      <c r="E48" s="21">
        <v>1</v>
      </c>
      <c r="F48" s="21" t="s">
        <v>187</v>
      </c>
      <c r="G48" s="21" t="s">
        <v>92</v>
      </c>
      <c r="H48" s="25">
        <v>9100</v>
      </c>
      <c r="I48" s="8" t="s">
        <v>141</v>
      </c>
      <c r="J48" s="20">
        <v>46182</v>
      </c>
      <c r="K48" s="26">
        <v>0.79686342592592596</v>
      </c>
      <c r="L48" s="21" t="s">
        <v>94</v>
      </c>
      <c r="M48" s="21">
        <v>43</v>
      </c>
      <c r="N48" s="8" t="s">
        <v>102</v>
      </c>
      <c r="O48" s="20">
        <v>46182</v>
      </c>
      <c r="P48" s="26">
        <v>0.93368055555555551</v>
      </c>
    </row>
    <row r="49" spans="3:16" x14ac:dyDescent="0.35">
      <c r="C49" s="21">
        <v>10031909200</v>
      </c>
      <c r="D49" s="21" t="s">
        <v>188</v>
      </c>
      <c r="E49" s="21">
        <v>1</v>
      </c>
      <c r="F49" s="21" t="s">
        <v>189</v>
      </c>
      <c r="G49" s="21" t="s">
        <v>98</v>
      </c>
      <c r="H49" s="21">
        <v>340</v>
      </c>
      <c r="I49" s="8" t="s">
        <v>93</v>
      </c>
      <c r="J49" s="20">
        <v>46182</v>
      </c>
      <c r="K49" s="26">
        <v>0.79682870370370373</v>
      </c>
      <c r="L49" s="21" t="s">
        <v>94</v>
      </c>
      <c r="M49" s="21">
        <v>50</v>
      </c>
      <c r="N49" s="8" t="s">
        <v>102</v>
      </c>
      <c r="O49" s="20">
        <v>46182</v>
      </c>
      <c r="P49" s="26">
        <v>0.93368055555555551</v>
      </c>
    </row>
    <row r="50" spans="3:16" x14ac:dyDescent="0.35">
      <c r="C50" s="21">
        <v>10031909272</v>
      </c>
      <c r="D50" s="21" t="s">
        <v>190</v>
      </c>
      <c r="E50" s="21">
        <v>1</v>
      </c>
      <c r="F50" s="21" t="s">
        <v>191</v>
      </c>
      <c r="G50" s="21" t="s">
        <v>92</v>
      </c>
      <c r="H50" s="25">
        <v>3200</v>
      </c>
      <c r="I50" s="8" t="s">
        <v>93</v>
      </c>
      <c r="J50" s="20">
        <v>46182</v>
      </c>
      <c r="K50" s="26">
        <v>0.79699074074074072</v>
      </c>
      <c r="L50" s="21" t="s">
        <v>94</v>
      </c>
      <c r="M50" s="21">
        <v>43</v>
      </c>
      <c r="N50" s="8" t="s">
        <v>102</v>
      </c>
      <c r="O50" s="20">
        <v>46182</v>
      </c>
      <c r="P50" s="26">
        <v>0.93368055555555551</v>
      </c>
    </row>
    <row r="51" spans="3:16" x14ac:dyDescent="0.35">
      <c r="C51" s="21">
        <v>10031909199</v>
      </c>
      <c r="D51" s="21" t="s">
        <v>192</v>
      </c>
      <c r="E51" s="21">
        <v>1</v>
      </c>
      <c r="F51" s="21" t="s">
        <v>193</v>
      </c>
      <c r="G51" s="21" t="s">
        <v>98</v>
      </c>
      <c r="H51" s="21">
        <v>320</v>
      </c>
      <c r="I51" s="8" t="s">
        <v>93</v>
      </c>
      <c r="J51" s="20">
        <v>46182</v>
      </c>
      <c r="K51" s="26">
        <v>0.79682870370370373</v>
      </c>
      <c r="L51" s="21" t="s">
        <v>94</v>
      </c>
      <c r="M51" s="21">
        <v>50</v>
      </c>
      <c r="N51" s="8" t="s">
        <v>102</v>
      </c>
      <c r="O51" s="20">
        <v>46182</v>
      </c>
      <c r="P51" s="26">
        <v>0.93366898148148147</v>
      </c>
    </row>
    <row r="52" spans="3:16" x14ac:dyDescent="0.35">
      <c r="C52" s="21">
        <v>10031908985</v>
      </c>
      <c r="D52" s="21" t="s">
        <v>194</v>
      </c>
      <c r="E52" s="21">
        <v>1</v>
      </c>
      <c r="F52" s="21" t="s">
        <v>195</v>
      </c>
      <c r="G52" s="21" t="s">
        <v>98</v>
      </c>
      <c r="H52" s="21">
        <v>672</v>
      </c>
      <c r="I52" s="8" t="s">
        <v>93</v>
      </c>
      <c r="J52" s="20">
        <v>46182</v>
      </c>
      <c r="K52" s="26">
        <v>0.78355324074074073</v>
      </c>
      <c r="L52" s="21" t="s">
        <v>94</v>
      </c>
      <c r="M52" s="21">
        <v>50</v>
      </c>
      <c r="N52" s="8" t="s">
        <v>102</v>
      </c>
      <c r="O52" s="20">
        <v>46182</v>
      </c>
      <c r="P52" s="26">
        <v>0.93366898148148147</v>
      </c>
    </row>
    <row r="53" spans="3:16" x14ac:dyDescent="0.35">
      <c r="C53" s="21">
        <v>10031909529</v>
      </c>
      <c r="D53" s="21" t="s">
        <v>196</v>
      </c>
      <c r="E53" s="21">
        <v>2</v>
      </c>
      <c r="F53" s="21" t="s">
        <v>197</v>
      </c>
      <c r="G53" s="21" t="s">
        <v>98</v>
      </c>
      <c r="H53" s="21">
        <v>320</v>
      </c>
      <c r="I53" s="8" t="s">
        <v>99</v>
      </c>
      <c r="J53" s="20">
        <v>46182</v>
      </c>
      <c r="K53" s="26">
        <v>0.80209490740740741</v>
      </c>
      <c r="L53" s="21" t="s">
        <v>94</v>
      </c>
      <c r="M53" s="21">
        <v>50</v>
      </c>
      <c r="N53" s="8" t="s">
        <v>102</v>
      </c>
      <c r="O53" s="20">
        <v>46182</v>
      </c>
      <c r="P53" s="26">
        <v>0.93135416666666671</v>
      </c>
    </row>
    <row r="54" spans="3:16" x14ac:dyDescent="0.35">
      <c r="C54" s="21">
        <v>10031909396</v>
      </c>
      <c r="D54" s="21" t="s">
        <v>198</v>
      </c>
      <c r="E54" s="21">
        <v>1</v>
      </c>
      <c r="F54" s="21" t="s">
        <v>199</v>
      </c>
      <c r="G54" s="21" t="s">
        <v>98</v>
      </c>
      <c r="H54" s="25">
        <v>1440</v>
      </c>
      <c r="I54" s="8" t="s">
        <v>93</v>
      </c>
      <c r="J54" s="20">
        <v>46182</v>
      </c>
      <c r="K54" s="26">
        <v>0.79728009259259258</v>
      </c>
      <c r="L54" s="21" t="s">
        <v>94</v>
      </c>
      <c r="M54" s="21">
        <v>50</v>
      </c>
      <c r="N54" s="8" t="s">
        <v>102</v>
      </c>
      <c r="O54" s="20">
        <v>46182</v>
      </c>
      <c r="P54" s="26">
        <v>0.93135416666666671</v>
      </c>
    </row>
    <row r="55" spans="3:16" x14ac:dyDescent="0.35">
      <c r="C55" s="21">
        <v>10031909295</v>
      </c>
      <c r="D55" s="21" t="s">
        <v>200</v>
      </c>
      <c r="E55" s="21">
        <v>3</v>
      </c>
      <c r="F55" s="21" t="s">
        <v>197</v>
      </c>
      <c r="G55" s="21" t="s">
        <v>98</v>
      </c>
      <c r="H55" s="21">
        <v>924</v>
      </c>
      <c r="I55" s="8">
        <v>3005</v>
      </c>
      <c r="J55" s="20">
        <v>46182</v>
      </c>
      <c r="K55" s="26">
        <v>0.79704861111111114</v>
      </c>
      <c r="L55" s="21" t="s">
        <v>94</v>
      </c>
      <c r="M55" s="21">
        <v>50</v>
      </c>
      <c r="N55" s="8" t="s">
        <v>102</v>
      </c>
      <c r="O55" s="20">
        <v>46182</v>
      </c>
      <c r="P55" s="26">
        <v>0.93134259259259256</v>
      </c>
    </row>
    <row r="56" spans="3:16" x14ac:dyDescent="0.35">
      <c r="C56" s="21">
        <v>10031909140</v>
      </c>
      <c r="D56" s="21" t="s">
        <v>201</v>
      </c>
      <c r="E56" s="21">
        <v>3</v>
      </c>
      <c r="F56" s="21" t="s">
        <v>202</v>
      </c>
      <c r="G56" s="21" t="s">
        <v>203</v>
      </c>
      <c r="H56" s="25">
        <v>1560</v>
      </c>
      <c r="I56" s="8" t="s">
        <v>93</v>
      </c>
      <c r="J56" s="20">
        <v>46182</v>
      </c>
      <c r="K56" s="26">
        <v>0.78811342592592593</v>
      </c>
      <c r="L56" s="21" t="s">
        <v>94</v>
      </c>
      <c r="M56" s="21">
        <v>50</v>
      </c>
      <c r="N56" s="8" t="s">
        <v>102</v>
      </c>
      <c r="O56" s="20">
        <v>46182</v>
      </c>
      <c r="P56" s="26">
        <v>0.93134259259259256</v>
      </c>
    </row>
    <row r="57" spans="3:16" x14ac:dyDescent="0.35">
      <c r="C57" s="21">
        <v>10031909011</v>
      </c>
      <c r="D57" s="21" t="s">
        <v>204</v>
      </c>
      <c r="E57" s="21">
        <v>6</v>
      </c>
      <c r="F57" s="21" t="s">
        <v>205</v>
      </c>
      <c r="G57" s="21" t="s">
        <v>98</v>
      </c>
      <c r="H57" s="21">
        <v>12</v>
      </c>
      <c r="I57" s="8" t="s">
        <v>93</v>
      </c>
      <c r="J57" s="20">
        <v>46182</v>
      </c>
      <c r="K57" s="26">
        <v>0.78365740740740741</v>
      </c>
      <c r="L57" s="21" t="s">
        <v>94</v>
      </c>
      <c r="M57" s="21">
        <v>50</v>
      </c>
      <c r="N57" s="8" t="s">
        <v>102</v>
      </c>
      <c r="O57" s="20">
        <v>46182</v>
      </c>
      <c r="P57" s="26">
        <v>0.93133101851851852</v>
      </c>
    </row>
    <row r="58" spans="3:16" x14ac:dyDescent="0.35">
      <c r="C58" s="21">
        <v>10031909027</v>
      </c>
      <c r="D58" s="21" t="s">
        <v>206</v>
      </c>
      <c r="E58" s="21">
        <v>1</v>
      </c>
      <c r="F58" s="21" t="s">
        <v>207</v>
      </c>
      <c r="G58" s="21" t="s">
        <v>92</v>
      </c>
      <c r="H58" s="25">
        <v>8800</v>
      </c>
      <c r="I58" s="8">
        <v>3005</v>
      </c>
      <c r="J58" s="20">
        <v>46182</v>
      </c>
      <c r="K58" s="26">
        <v>0.78369212962962964</v>
      </c>
      <c r="L58" s="21" t="s">
        <v>94</v>
      </c>
      <c r="M58" s="21">
        <v>22</v>
      </c>
      <c r="N58" s="8" t="s">
        <v>102</v>
      </c>
      <c r="O58" s="20">
        <v>46182</v>
      </c>
      <c r="P58" s="26">
        <v>0.93133101851851852</v>
      </c>
    </row>
    <row r="59" spans="3:16" x14ac:dyDescent="0.35">
      <c r="C59" s="21">
        <v>10031909014</v>
      </c>
      <c r="D59" s="21" t="s">
        <v>208</v>
      </c>
      <c r="E59" s="21">
        <v>1</v>
      </c>
      <c r="F59" s="21" t="s">
        <v>209</v>
      </c>
      <c r="G59" s="21" t="s">
        <v>98</v>
      </c>
      <c r="H59" s="21">
        <v>600</v>
      </c>
      <c r="I59" s="8" t="s">
        <v>93</v>
      </c>
      <c r="J59" s="20">
        <v>46182</v>
      </c>
      <c r="K59" s="26">
        <v>0.78366898148148145</v>
      </c>
      <c r="L59" s="21" t="s">
        <v>94</v>
      </c>
      <c r="M59" s="21">
        <v>43</v>
      </c>
      <c r="N59" s="8" t="s">
        <v>102</v>
      </c>
      <c r="O59" s="20">
        <v>46182</v>
      </c>
      <c r="P59" s="26">
        <v>0.93133101851851852</v>
      </c>
    </row>
    <row r="60" spans="3:16" x14ac:dyDescent="0.35">
      <c r="C60" s="21">
        <v>10031909002</v>
      </c>
      <c r="D60" s="21" t="s">
        <v>210</v>
      </c>
      <c r="E60" s="21">
        <v>2</v>
      </c>
      <c r="F60" s="21" t="s">
        <v>211</v>
      </c>
      <c r="G60" s="21" t="s">
        <v>212</v>
      </c>
      <c r="H60" s="25">
        <v>10000</v>
      </c>
      <c r="I60" s="8">
        <v>3005</v>
      </c>
      <c r="J60" s="20">
        <v>46182</v>
      </c>
      <c r="K60" s="26">
        <v>0.78364583333333337</v>
      </c>
      <c r="L60" s="21" t="s">
        <v>94</v>
      </c>
      <c r="M60" s="21">
        <v>50</v>
      </c>
      <c r="N60" s="8" t="s">
        <v>102</v>
      </c>
      <c r="O60" s="20">
        <v>46182</v>
      </c>
      <c r="P60" s="26">
        <v>0.93131944444444448</v>
      </c>
    </row>
    <row r="61" spans="3:16" x14ac:dyDescent="0.35">
      <c r="C61" s="21">
        <v>10031908983</v>
      </c>
      <c r="D61" s="21" t="s">
        <v>213</v>
      </c>
      <c r="E61" s="21">
        <v>1</v>
      </c>
      <c r="F61" s="21" t="s">
        <v>214</v>
      </c>
      <c r="G61" s="21" t="s">
        <v>98</v>
      </c>
      <c r="H61" s="21">
        <v>616</v>
      </c>
      <c r="I61" s="8" t="s">
        <v>93</v>
      </c>
      <c r="J61" s="20">
        <v>46182</v>
      </c>
      <c r="K61" s="26">
        <v>0.78354166666666669</v>
      </c>
      <c r="L61" s="21" t="s">
        <v>94</v>
      </c>
      <c r="M61" s="21">
        <v>50</v>
      </c>
      <c r="N61" s="8" t="s">
        <v>102</v>
      </c>
      <c r="O61" s="20">
        <v>46182</v>
      </c>
      <c r="P61" s="26">
        <v>0.93131944444444448</v>
      </c>
    </row>
    <row r="62" spans="3:16" x14ac:dyDescent="0.35">
      <c r="C62" s="21">
        <v>10031908995</v>
      </c>
      <c r="D62" s="21" t="s">
        <v>215</v>
      </c>
      <c r="E62" s="21">
        <v>1</v>
      </c>
      <c r="F62" s="21" t="s">
        <v>216</v>
      </c>
      <c r="G62" s="21" t="s">
        <v>98</v>
      </c>
      <c r="H62" s="21">
        <v>240</v>
      </c>
      <c r="I62" s="8" t="s">
        <v>93</v>
      </c>
      <c r="J62" s="20">
        <v>46182</v>
      </c>
      <c r="K62" s="26">
        <v>0.783599537037037</v>
      </c>
      <c r="L62" s="21" t="s">
        <v>94</v>
      </c>
      <c r="M62" s="21">
        <v>50</v>
      </c>
      <c r="N62" s="8" t="s">
        <v>102</v>
      </c>
      <c r="O62" s="20">
        <v>46182</v>
      </c>
      <c r="P62" s="26">
        <v>0.93131944444444448</v>
      </c>
    </row>
    <row r="63" spans="3:16" x14ac:dyDescent="0.35">
      <c r="C63" s="21">
        <v>10031908939</v>
      </c>
      <c r="D63" s="21" t="s">
        <v>217</v>
      </c>
      <c r="E63" s="21">
        <v>2</v>
      </c>
      <c r="F63" s="21" t="s">
        <v>202</v>
      </c>
      <c r="G63" s="21" t="s">
        <v>203</v>
      </c>
      <c r="H63" s="21">
        <v>810</v>
      </c>
      <c r="I63" s="8">
        <v>3005</v>
      </c>
      <c r="J63" s="20">
        <v>46182</v>
      </c>
      <c r="K63" s="26">
        <v>0.78342592592592597</v>
      </c>
      <c r="L63" s="21" t="s">
        <v>94</v>
      </c>
      <c r="M63" s="21">
        <v>50</v>
      </c>
      <c r="N63" s="8" t="s">
        <v>102</v>
      </c>
      <c r="O63" s="20">
        <v>46182</v>
      </c>
      <c r="P63" s="26">
        <v>0.92898148148148152</v>
      </c>
    </row>
    <row r="64" spans="3:16" x14ac:dyDescent="0.35">
      <c r="C64" s="21">
        <v>10031908940</v>
      </c>
      <c r="D64" s="21" t="s">
        <v>217</v>
      </c>
      <c r="E64" s="21">
        <v>2</v>
      </c>
      <c r="F64" s="21" t="s">
        <v>202</v>
      </c>
      <c r="G64" s="21" t="s">
        <v>203</v>
      </c>
      <c r="H64" s="21">
        <v>180</v>
      </c>
      <c r="I64" s="8">
        <v>3005</v>
      </c>
      <c r="J64" s="20">
        <v>46182</v>
      </c>
      <c r="K64" s="26">
        <v>0.78343750000000001</v>
      </c>
      <c r="L64" s="21" t="s">
        <v>94</v>
      </c>
      <c r="M64" s="21">
        <v>50</v>
      </c>
      <c r="N64" s="8" t="s">
        <v>102</v>
      </c>
      <c r="O64" s="20">
        <v>46182</v>
      </c>
      <c r="P64" s="26">
        <v>0.92898148148148152</v>
      </c>
    </row>
    <row r="65" spans="3:16" x14ac:dyDescent="0.35">
      <c r="C65" s="21">
        <v>10031908910</v>
      </c>
      <c r="D65" s="21" t="s">
        <v>218</v>
      </c>
      <c r="E65" s="21">
        <v>1</v>
      </c>
      <c r="F65" s="21" t="s">
        <v>219</v>
      </c>
      <c r="G65" s="21" t="s">
        <v>133</v>
      </c>
      <c r="H65" s="25">
        <v>1800</v>
      </c>
      <c r="I65" s="8">
        <v>3005</v>
      </c>
      <c r="J65" s="20">
        <v>46182</v>
      </c>
      <c r="K65" s="26">
        <v>0.78228009259259257</v>
      </c>
      <c r="L65" s="21" t="s">
        <v>94</v>
      </c>
      <c r="M65" s="21">
        <v>20</v>
      </c>
      <c r="N65" s="8" t="s">
        <v>110</v>
      </c>
      <c r="O65" s="20">
        <v>46182</v>
      </c>
      <c r="P65" s="26">
        <v>0.92865740740740743</v>
      </c>
    </row>
    <row r="66" spans="3:16" x14ac:dyDescent="0.35">
      <c r="C66" s="21">
        <v>10031908927</v>
      </c>
      <c r="D66" s="21" t="s">
        <v>218</v>
      </c>
      <c r="E66" s="21">
        <v>1</v>
      </c>
      <c r="F66" s="21" t="s">
        <v>219</v>
      </c>
      <c r="G66" s="21" t="s">
        <v>133</v>
      </c>
      <c r="H66" s="21">
        <v>200</v>
      </c>
      <c r="I66" s="8">
        <v>3005</v>
      </c>
      <c r="J66" s="20">
        <v>46182</v>
      </c>
      <c r="K66" s="26">
        <v>0.78229166666666672</v>
      </c>
      <c r="L66" s="21" t="s">
        <v>94</v>
      </c>
      <c r="M66" s="21">
        <v>20</v>
      </c>
      <c r="N66" s="8" t="s">
        <v>110</v>
      </c>
      <c r="O66" s="20">
        <v>46182</v>
      </c>
      <c r="P66" s="26">
        <v>0.92865740740740743</v>
      </c>
    </row>
    <row r="67" spans="3:16" x14ac:dyDescent="0.35">
      <c r="C67" s="21">
        <v>10031908902</v>
      </c>
      <c r="D67" s="21" t="s">
        <v>220</v>
      </c>
      <c r="E67" s="21">
        <v>2</v>
      </c>
      <c r="F67" s="21" t="s">
        <v>221</v>
      </c>
      <c r="G67" s="21" t="s">
        <v>133</v>
      </c>
      <c r="H67" s="25">
        <v>2240</v>
      </c>
      <c r="I67" s="8">
        <v>3005</v>
      </c>
      <c r="J67" s="20">
        <v>46182</v>
      </c>
      <c r="K67" s="26">
        <v>0.78228009259259257</v>
      </c>
      <c r="L67" s="21" t="s">
        <v>94</v>
      </c>
      <c r="M67" s="21">
        <v>40</v>
      </c>
      <c r="N67" s="8" t="s">
        <v>95</v>
      </c>
      <c r="O67" s="20">
        <v>46182</v>
      </c>
      <c r="P67" s="26">
        <v>0.92817129629629624</v>
      </c>
    </row>
    <row r="68" spans="3:16" x14ac:dyDescent="0.35">
      <c r="C68" s="21">
        <v>10031907586</v>
      </c>
      <c r="D68" s="21" t="s">
        <v>222</v>
      </c>
      <c r="E68" s="21">
        <v>2</v>
      </c>
      <c r="F68" s="21" t="s">
        <v>223</v>
      </c>
      <c r="G68" s="21" t="s">
        <v>224</v>
      </c>
      <c r="H68" s="21">
        <v>70</v>
      </c>
      <c r="I68" s="8" t="s">
        <v>134</v>
      </c>
      <c r="J68" s="20">
        <v>46182</v>
      </c>
      <c r="K68" s="26">
        <v>0.69416666666666671</v>
      </c>
      <c r="L68" s="21" t="s">
        <v>94</v>
      </c>
      <c r="M68" s="21">
        <v>50</v>
      </c>
      <c r="N68" s="8" t="s">
        <v>102</v>
      </c>
      <c r="O68" s="20">
        <v>46182</v>
      </c>
      <c r="P68" s="26">
        <v>0.92667824074074079</v>
      </c>
    </row>
    <row r="69" spans="3:16" x14ac:dyDescent="0.35">
      <c r="C69" s="21">
        <v>10031907585</v>
      </c>
      <c r="D69" s="21" t="s">
        <v>222</v>
      </c>
      <c r="E69" s="21">
        <v>2</v>
      </c>
      <c r="F69" s="21" t="s">
        <v>223</v>
      </c>
      <c r="G69" s="21" t="s">
        <v>224</v>
      </c>
      <c r="H69" s="21">
        <v>280</v>
      </c>
      <c r="I69" s="8" t="s">
        <v>134</v>
      </c>
      <c r="J69" s="20">
        <v>46182</v>
      </c>
      <c r="K69" s="26">
        <v>0.69416666666666671</v>
      </c>
      <c r="L69" s="21" t="s">
        <v>94</v>
      </c>
      <c r="M69" s="21">
        <v>50</v>
      </c>
      <c r="N69" s="8" t="s">
        <v>102</v>
      </c>
      <c r="O69" s="20">
        <v>46182</v>
      </c>
      <c r="P69" s="26">
        <v>0.92666666666666664</v>
      </c>
    </row>
    <row r="70" spans="3:16" x14ac:dyDescent="0.35">
      <c r="C70" s="21">
        <v>10031907578</v>
      </c>
      <c r="D70" s="21" t="s">
        <v>222</v>
      </c>
      <c r="E70" s="21">
        <v>2</v>
      </c>
      <c r="F70" s="21" t="s">
        <v>223</v>
      </c>
      <c r="G70" s="21" t="s">
        <v>224</v>
      </c>
      <c r="H70" s="25">
        <v>1120</v>
      </c>
      <c r="I70" s="8" t="s">
        <v>134</v>
      </c>
      <c r="J70" s="20">
        <v>46182</v>
      </c>
      <c r="K70" s="26">
        <v>0.69415509259259256</v>
      </c>
      <c r="L70" s="21" t="s">
        <v>94</v>
      </c>
      <c r="M70" s="21">
        <v>50</v>
      </c>
      <c r="N70" s="8" t="s">
        <v>95</v>
      </c>
      <c r="O70" s="20">
        <v>46182</v>
      </c>
      <c r="P70" s="26">
        <v>0.92585648148148147</v>
      </c>
    </row>
    <row r="71" spans="3:16" x14ac:dyDescent="0.35">
      <c r="C71" s="21">
        <v>10031909304</v>
      </c>
      <c r="D71" s="21" t="s">
        <v>225</v>
      </c>
      <c r="E71" s="21">
        <v>1</v>
      </c>
      <c r="F71" s="21" t="s">
        <v>226</v>
      </c>
      <c r="G71" s="21" t="s">
        <v>92</v>
      </c>
      <c r="H71" s="25">
        <v>12200</v>
      </c>
      <c r="I71" s="8" t="s">
        <v>93</v>
      </c>
      <c r="J71" s="20">
        <v>46182</v>
      </c>
      <c r="K71" s="26">
        <v>0.79707175925925922</v>
      </c>
      <c r="L71" s="21" t="s">
        <v>94</v>
      </c>
      <c r="M71" s="21">
        <v>43</v>
      </c>
      <c r="N71" s="8" t="s">
        <v>102</v>
      </c>
      <c r="O71" s="20">
        <v>46182</v>
      </c>
      <c r="P71" s="26">
        <v>0.92437499999999995</v>
      </c>
    </row>
    <row r="72" spans="3:16" x14ac:dyDescent="0.35">
      <c r="C72" s="21">
        <v>10031909317</v>
      </c>
      <c r="D72" s="21" t="s">
        <v>227</v>
      </c>
      <c r="E72" s="21">
        <v>2</v>
      </c>
      <c r="F72" s="21" t="s">
        <v>228</v>
      </c>
      <c r="G72" s="21" t="s">
        <v>92</v>
      </c>
      <c r="H72" s="25">
        <v>3000</v>
      </c>
      <c r="I72" s="8" t="s">
        <v>93</v>
      </c>
      <c r="J72" s="20">
        <v>46182</v>
      </c>
      <c r="K72" s="26">
        <v>0.79710648148148144</v>
      </c>
      <c r="L72" s="21" t="s">
        <v>94</v>
      </c>
      <c r="M72" s="21">
        <v>63</v>
      </c>
      <c r="N72" s="8" t="s">
        <v>102</v>
      </c>
      <c r="O72" s="20">
        <v>46182</v>
      </c>
      <c r="P72" s="26">
        <v>0.92437499999999995</v>
      </c>
    </row>
    <row r="73" spans="3:16" x14ac:dyDescent="0.35">
      <c r="C73" s="21">
        <v>10031909213</v>
      </c>
      <c r="D73" s="21" t="s">
        <v>229</v>
      </c>
      <c r="E73" s="21">
        <v>1</v>
      </c>
      <c r="F73" s="21" t="s">
        <v>230</v>
      </c>
      <c r="G73" s="21" t="s">
        <v>92</v>
      </c>
      <c r="H73" s="25">
        <v>3000</v>
      </c>
      <c r="I73" s="8" t="s">
        <v>93</v>
      </c>
      <c r="J73" s="20">
        <v>46182</v>
      </c>
      <c r="K73" s="26">
        <v>0.79686342592592596</v>
      </c>
      <c r="L73" s="21" t="s">
        <v>94</v>
      </c>
      <c r="M73" s="21">
        <v>43</v>
      </c>
      <c r="N73" s="8" t="s">
        <v>102</v>
      </c>
      <c r="O73" s="20">
        <v>46182</v>
      </c>
      <c r="P73" s="26">
        <v>0.92436342592592591</v>
      </c>
    </row>
    <row r="74" spans="3:16" x14ac:dyDescent="0.35">
      <c r="C74" s="21">
        <v>10031909301</v>
      </c>
      <c r="D74" s="21" t="s">
        <v>231</v>
      </c>
      <c r="E74" s="21">
        <v>1</v>
      </c>
      <c r="F74" s="21" t="s">
        <v>232</v>
      </c>
      <c r="G74" s="21" t="s">
        <v>92</v>
      </c>
      <c r="H74" s="25">
        <v>12200</v>
      </c>
      <c r="I74" s="8" t="s">
        <v>93</v>
      </c>
      <c r="J74" s="20">
        <v>46182</v>
      </c>
      <c r="K74" s="26">
        <v>0.79706018518518518</v>
      </c>
      <c r="L74" s="21" t="s">
        <v>94</v>
      </c>
      <c r="M74" s="21">
        <v>22</v>
      </c>
      <c r="N74" s="8" t="s">
        <v>102</v>
      </c>
      <c r="O74" s="20">
        <v>46182</v>
      </c>
      <c r="P74" s="26">
        <v>0.92436342592592591</v>
      </c>
    </row>
    <row r="75" spans="3:16" x14ac:dyDescent="0.35">
      <c r="C75" s="21">
        <v>10031909302</v>
      </c>
      <c r="D75" s="21" t="s">
        <v>233</v>
      </c>
      <c r="E75" s="21">
        <v>2</v>
      </c>
      <c r="F75" s="21" t="s">
        <v>234</v>
      </c>
      <c r="G75" s="21" t="s">
        <v>92</v>
      </c>
      <c r="H75" s="25">
        <v>12000</v>
      </c>
      <c r="I75" s="8" t="s">
        <v>93</v>
      </c>
      <c r="J75" s="20">
        <v>46182</v>
      </c>
      <c r="K75" s="26">
        <v>0.79707175925925922</v>
      </c>
      <c r="L75" s="21" t="s">
        <v>94</v>
      </c>
      <c r="M75" s="21">
        <v>43</v>
      </c>
      <c r="N75" s="8" t="s">
        <v>102</v>
      </c>
      <c r="O75" s="20">
        <v>46182</v>
      </c>
      <c r="P75" s="26">
        <v>0.92436342592592591</v>
      </c>
    </row>
    <row r="76" spans="3:16" x14ac:dyDescent="0.35">
      <c r="C76" s="21">
        <v>10031909124</v>
      </c>
      <c r="D76" s="21" t="s">
        <v>235</v>
      </c>
      <c r="E76" s="21">
        <v>1</v>
      </c>
      <c r="F76" s="21" t="s">
        <v>202</v>
      </c>
      <c r="G76" s="21" t="s">
        <v>203</v>
      </c>
      <c r="H76" s="21">
        <v>540</v>
      </c>
      <c r="I76" s="8" t="s">
        <v>93</v>
      </c>
      <c r="J76" s="20">
        <v>46182</v>
      </c>
      <c r="K76" s="26">
        <v>0.78809027777777774</v>
      </c>
      <c r="L76" s="21" t="s">
        <v>94</v>
      </c>
      <c r="M76" s="21">
        <v>50</v>
      </c>
      <c r="N76" s="8" t="s">
        <v>102</v>
      </c>
      <c r="O76" s="20">
        <v>46182</v>
      </c>
      <c r="P76" s="26">
        <v>0.92435185185185187</v>
      </c>
    </row>
    <row r="77" spans="3:16" x14ac:dyDescent="0.35">
      <c r="C77" s="21">
        <v>10031909125</v>
      </c>
      <c r="D77" s="21" t="s">
        <v>235</v>
      </c>
      <c r="E77" s="21">
        <v>1</v>
      </c>
      <c r="F77" s="21" t="s">
        <v>202</v>
      </c>
      <c r="G77" s="21" t="s">
        <v>203</v>
      </c>
      <c r="H77" s="25">
        <v>1800</v>
      </c>
      <c r="I77" s="8" t="s">
        <v>93</v>
      </c>
      <c r="J77" s="20">
        <v>46182</v>
      </c>
      <c r="K77" s="26">
        <v>0.78809027777777774</v>
      </c>
      <c r="L77" s="21" t="s">
        <v>94</v>
      </c>
      <c r="M77" s="21">
        <v>50</v>
      </c>
      <c r="N77" s="8" t="s">
        <v>102</v>
      </c>
      <c r="O77" s="20">
        <v>46182</v>
      </c>
      <c r="P77" s="26">
        <v>0.92435185185185187</v>
      </c>
    </row>
    <row r="78" spans="3:16" x14ac:dyDescent="0.35">
      <c r="C78" s="21">
        <v>10031909091</v>
      </c>
      <c r="D78" s="21" t="s">
        <v>236</v>
      </c>
      <c r="E78" s="21">
        <v>2</v>
      </c>
      <c r="F78" s="21" t="s">
        <v>237</v>
      </c>
      <c r="G78" s="21" t="s">
        <v>203</v>
      </c>
      <c r="H78" s="25">
        <v>4200</v>
      </c>
      <c r="I78" s="8" t="s">
        <v>93</v>
      </c>
      <c r="J78" s="20">
        <v>46182</v>
      </c>
      <c r="K78" s="26">
        <v>0.78802083333333328</v>
      </c>
      <c r="L78" s="21" t="s">
        <v>94</v>
      </c>
      <c r="M78" s="21">
        <v>50</v>
      </c>
      <c r="N78" s="8" t="s">
        <v>102</v>
      </c>
      <c r="O78" s="20">
        <v>46182</v>
      </c>
      <c r="P78" s="26">
        <v>0.92434027777777783</v>
      </c>
    </row>
    <row r="79" spans="3:16" x14ac:dyDescent="0.35">
      <c r="C79" s="21">
        <v>10031908953</v>
      </c>
      <c r="D79" s="21" t="s">
        <v>238</v>
      </c>
      <c r="E79" s="21">
        <v>4</v>
      </c>
      <c r="F79" s="21" t="s">
        <v>239</v>
      </c>
      <c r="G79" s="21" t="s">
        <v>240</v>
      </c>
      <c r="H79" s="21">
        <v>368</v>
      </c>
      <c r="I79" s="8" t="s">
        <v>93</v>
      </c>
      <c r="J79" s="20">
        <v>46182</v>
      </c>
      <c r="K79" s="26">
        <v>0.7834606481481482</v>
      </c>
      <c r="L79" s="21" t="s">
        <v>94</v>
      </c>
      <c r="M79" s="21">
        <v>50</v>
      </c>
      <c r="N79" s="8" t="s">
        <v>102</v>
      </c>
      <c r="O79" s="20">
        <v>46182</v>
      </c>
      <c r="P79" s="26">
        <v>0.92434027777777783</v>
      </c>
    </row>
    <row r="80" spans="3:16" x14ac:dyDescent="0.35">
      <c r="C80" s="21">
        <v>10031908954</v>
      </c>
      <c r="D80" s="21" t="s">
        <v>241</v>
      </c>
      <c r="E80" s="21">
        <v>2</v>
      </c>
      <c r="F80" s="21" t="s">
        <v>242</v>
      </c>
      <c r="G80" s="21" t="s">
        <v>240</v>
      </c>
      <c r="H80" s="21">
        <v>248</v>
      </c>
      <c r="I80" s="8" t="s">
        <v>93</v>
      </c>
      <c r="J80" s="20">
        <v>46182</v>
      </c>
      <c r="K80" s="26">
        <v>0.78347222222222224</v>
      </c>
      <c r="L80" s="21" t="s">
        <v>94</v>
      </c>
      <c r="M80" s="21">
        <v>30</v>
      </c>
      <c r="N80" s="8" t="s">
        <v>102</v>
      </c>
      <c r="O80" s="20">
        <v>46182</v>
      </c>
      <c r="P80" s="26">
        <v>0.92434027777777783</v>
      </c>
    </row>
    <row r="81" spans="3:16" x14ac:dyDescent="0.35">
      <c r="C81" s="21">
        <v>10031908997</v>
      </c>
      <c r="D81" s="21" t="s">
        <v>243</v>
      </c>
      <c r="E81" s="21">
        <v>2</v>
      </c>
      <c r="F81" s="21" t="s">
        <v>244</v>
      </c>
      <c r="G81" s="21" t="s">
        <v>107</v>
      </c>
      <c r="H81" s="21">
        <v>640</v>
      </c>
      <c r="I81" s="8" t="s">
        <v>93</v>
      </c>
      <c r="J81" s="20">
        <v>46182</v>
      </c>
      <c r="K81" s="26">
        <v>0.78361111111111115</v>
      </c>
      <c r="L81" s="21" t="s">
        <v>94</v>
      </c>
      <c r="M81" s="21">
        <v>50</v>
      </c>
      <c r="N81" s="8" t="s">
        <v>245</v>
      </c>
      <c r="O81" s="20">
        <v>46182</v>
      </c>
      <c r="P81" s="26">
        <v>0.92234953703703704</v>
      </c>
    </row>
    <row r="82" spans="3:16" x14ac:dyDescent="0.35">
      <c r="C82" s="21">
        <v>10031909211</v>
      </c>
      <c r="D82" s="21" t="s">
        <v>246</v>
      </c>
      <c r="E82" s="21">
        <v>4</v>
      </c>
      <c r="F82" s="21" t="s">
        <v>247</v>
      </c>
      <c r="G82" s="21" t="s">
        <v>248</v>
      </c>
      <c r="H82" s="21">
        <v>576</v>
      </c>
      <c r="I82" s="8" t="s">
        <v>93</v>
      </c>
      <c r="J82" s="20">
        <v>46182</v>
      </c>
      <c r="K82" s="26">
        <v>0.79685185185185181</v>
      </c>
      <c r="L82" s="21" t="s">
        <v>94</v>
      </c>
      <c r="M82" s="21">
        <v>50</v>
      </c>
      <c r="N82" s="8" t="s">
        <v>102</v>
      </c>
      <c r="O82" s="20">
        <v>46182</v>
      </c>
      <c r="P82" s="26">
        <v>0.92200231481481476</v>
      </c>
    </row>
    <row r="83" spans="3:16" x14ac:dyDescent="0.35">
      <c r="C83" s="21">
        <v>10031909207</v>
      </c>
      <c r="D83" s="21" t="s">
        <v>249</v>
      </c>
      <c r="E83" s="21">
        <v>2</v>
      </c>
      <c r="F83" s="21" t="s">
        <v>250</v>
      </c>
      <c r="G83" s="21" t="s">
        <v>248</v>
      </c>
      <c r="H83" s="21">
        <v>648</v>
      </c>
      <c r="I83" s="8" t="s">
        <v>93</v>
      </c>
      <c r="J83" s="20">
        <v>46182</v>
      </c>
      <c r="K83" s="26">
        <v>0.79684027777777777</v>
      </c>
      <c r="L83" s="21" t="s">
        <v>94</v>
      </c>
      <c r="M83" s="21">
        <v>50</v>
      </c>
      <c r="N83" s="8" t="s">
        <v>102</v>
      </c>
      <c r="O83" s="20">
        <v>46182</v>
      </c>
      <c r="P83" s="26">
        <v>0.92199074074074072</v>
      </c>
    </row>
    <row r="84" spans="3:16" x14ac:dyDescent="0.35">
      <c r="C84" s="21">
        <v>10031909186</v>
      </c>
      <c r="D84" s="21" t="s">
        <v>251</v>
      </c>
      <c r="E84" s="21">
        <v>1</v>
      </c>
      <c r="F84" s="21" t="s">
        <v>252</v>
      </c>
      <c r="G84" s="21" t="s">
        <v>153</v>
      </c>
      <c r="H84" s="25">
        <v>1800</v>
      </c>
      <c r="I84" s="8" t="s">
        <v>93</v>
      </c>
      <c r="J84" s="20">
        <v>46182</v>
      </c>
      <c r="K84" s="26">
        <v>0.79679398148148151</v>
      </c>
      <c r="L84" s="21" t="s">
        <v>94</v>
      </c>
      <c r="M84" s="21">
        <v>50</v>
      </c>
      <c r="N84" s="8" t="s">
        <v>102</v>
      </c>
      <c r="O84" s="20">
        <v>46182</v>
      </c>
      <c r="P84" s="26">
        <v>0.92199074074074072</v>
      </c>
    </row>
    <row r="85" spans="3:16" x14ac:dyDescent="0.35">
      <c r="C85" s="21">
        <v>10031909188</v>
      </c>
      <c r="D85" s="21" t="s">
        <v>253</v>
      </c>
      <c r="E85" s="21">
        <v>2</v>
      </c>
      <c r="F85" s="21" t="s">
        <v>254</v>
      </c>
      <c r="G85" s="21" t="s">
        <v>153</v>
      </c>
      <c r="H85" s="25">
        <v>1800</v>
      </c>
      <c r="I85" s="8" t="s">
        <v>93</v>
      </c>
      <c r="J85" s="20">
        <v>46182</v>
      </c>
      <c r="K85" s="26">
        <v>0.79679398148148151</v>
      </c>
      <c r="L85" s="21" t="s">
        <v>94</v>
      </c>
      <c r="M85" s="21">
        <v>50</v>
      </c>
      <c r="N85" s="8" t="s">
        <v>102</v>
      </c>
      <c r="O85" s="20">
        <v>46182</v>
      </c>
      <c r="P85" s="26">
        <v>0.92199074074074072</v>
      </c>
    </row>
    <row r="86" spans="3:16" x14ac:dyDescent="0.35">
      <c r="C86" s="21">
        <v>10031909114</v>
      </c>
      <c r="D86" s="21" t="s">
        <v>255</v>
      </c>
      <c r="E86" s="21">
        <v>2</v>
      </c>
      <c r="F86" s="21" t="s">
        <v>256</v>
      </c>
      <c r="G86" s="21" t="s">
        <v>203</v>
      </c>
      <c r="H86" s="21">
        <v>300</v>
      </c>
      <c r="I86" s="8" t="s">
        <v>93</v>
      </c>
      <c r="J86" s="20">
        <v>46182</v>
      </c>
      <c r="K86" s="26">
        <v>0.78806712962962966</v>
      </c>
      <c r="L86" s="21" t="s">
        <v>94</v>
      </c>
      <c r="M86" s="21">
        <v>50</v>
      </c>
      <c r="N86" s="8" t="s">
        <v>102</v>
      </c>
      <c r="O86" s="20">
        <v>46182</v>
      </c>
      <c r="P86" s="26">
        <v>0.92197916666666668</v>
      </c>
    </row>
    <row r="87" spans="3:16" x14ac:dyDescent="0.35">
      <c r="C87" s="21">
        <v>10031909157</v>
      </c>
      <c r="D87" s="21" t="s">
        <v>257</v>
      </c>
      <c r="E87" s="21">
        <v>1</v>
      </c>
      <c r="F87" s="21" t="s">
        <v>258</v>
      </c>
      <c r="G87" s="21" t="s">
        <v>92</v>
      </c>
      <c r="H87" s="25">
        <v>1800</v>
      </c>
      <c r="I87" s="8" t="s">
        <v>93</v>
      </c>
      <c r="J87" s="20">
        <v>46182</v>
      </c>
      <c r="K87" s="26">
        <v>0.79672453703703705</v>
      </c>
      <c r="L87" s="21" t="s">
        <v>94</v>
      </c>
      <c r="M87" s="21">
        <v>50</v>
      </c>
      <c r="N87" s="8" t="s">
        <v>102</v>
      </c>
      <c r="O87" s="20">
        <v>46182</v>
      </c>
      <c r="P87" s="26">
        <v>0.92197916666666668</v>
      </c>
    </row>
    <row r="88" spans="3:16" x14ac:dyDescent="0.35">
      <c r="C88" s="21">
        <v>10031908972</v>
      </c>
      <c r="D88" s="21" t="s">
        <v>259</v>
      </c>
      <c r="E88" s="21">
        <v>1</v>
      </c>
      <c r="F88" s="21" t="s">
        <v>260</v>
      </c>
      <c r="G88" s="21" t="s">
        <v>107</v>
      </c>
      <c r="H88" s="21">
        <v>736</v>
      </c>
      <c r="I88" s="8" t="s">
        <v>99</v>
      </c>
      <c r="J88" s="20">
        <v>46182</v>
      </c>
      <c r="K88" s="26">
        <v>0.78350694444444446</v>
      </c>
      <c r="L88" s="21" t="s">
        <v>94</v>
      </c>
      <c r="M88" s="21">
        <v>50</v>
      </c>
      <c r="N88" s="8" t="s">
        <v>95</v>
      </c>
      <c r="O88" s="20">
        <v>46182</v>
      </c>
      <c r="P88" s="26">
        <v>0.92116898148148152</v>
      </c>
    </row>
    <row r="89" spans="3:16" x14ac:dyDescent="0.35">
      <c r="C89" s="21">
        <v>10031907310</v>
      </c>
      <c r="D89" s="21" t="s">
        <v>261</v>
      </c>
      <c r="E89" s="21">
        <v>5</v>
      </c>
      <c r="F89" s="21" t="s">
        <v>262</v>
      </c>
      <c r="G89" s="21" t="s">
        <v>263</v>
      </c>
      <c r="H89" s="21">
        <v>280</v>
      </c>
      <c r="I89" s="8" t="s">
        <v>93</v>
      </c>
      <c r="J89" s="20">
        <v>46182</v>
      </c>
      <c r="K89" s="26">
        <v>0.68571759259259257</v>
      </c>
      <c r="L89" s="21" t="s">
        <v>94</v>
      </c>
      <c r="M89" s="21">
        <v>50</v>
      </c>
      <c r="N89" s="8" t="s">
        <v>95</v>
      </c>
      <c r="O89" s="20">
        <v>46182</v>
      </c>
      <c r="P89" s="26">
        <v>0.92114583333333333</v>
      </c>
    </row>
    <row r="90" spans="3:16" x14ac:dyDescent="0.35">
      <c r="C90" s="21">
        <v>10031904668</v>
      </c>
      <c r="D90" s="21" t="s">
        <v>264</v>
      </c>
      <c r="E90" s="21">
        <v>4</v>
      </c>
      <c r="F90" s="21" t="s">
        <v>265</v>
      </c>
      <c r="G90" s="21" t="s">
        <v>153</v>
      </c>
      <c r="H90" s="25">
        <v>1440</v>
      </c>
      <c r="I90" s="8" t="s">
        <v>99</v>
      </c>
      <c r="J90" s="20">
        <v>46182</v>
      </c>
      <c r="K90" s="26">
        <v>0.52017361111111116</v>
      </c>
      <c r="L90" s="21" t="s">
        <v>94</v>
      </c>
      <c r="M90" s="21">
        <v>50</v>
      </c>
      <c r="N90" s="8" t="s">
        <v>95</v>
      </c>
      <c r="O90" s="20">
        <v>46182</v>
      </c>
      <c r="P90" s="26">
        <v>0.92112268518518514</v>
      </c>
    </row>
    <row r="91" spans="3:16" x14ac:dyDescent="0.35">
      <c r="C91" s="21">
        <v>10031904669</v>
      </c>
      <c r="D91" s="21" t="s">
        <v>264</v>
      </c>
      <c r="E91" s="21">
        <v>4</v>
      </c>
      <c r="F91" s="21" t="s">
        <v>265</v>
      </c>
      <c r="G91" s="21" t="s">
        <v>153</v>
      </c>
      <c r="H91" s="21">
        <v>256</v>
      </c>
      <c r="I91" s="8" t="s">
        <v>99</v>
      </c>
      <c r="J91" s="20">
        <v>46182</v>
      </c>
      <c r="K91" s="26">
        <v>0.52017361111111116</v>
      </c>
      <c r="L91" s="21" t="s">
        <v>94</v>
      </c>
      <c r="M91" s="21">
        <v>50</v>
      </c>
      <c r="N91" s="8" t="s">
        <v>95</v>
      </c>
      <c r="O91" s="20">
        <v>46182</v>
      </c>
      <c r="P91" s="26">
        <v>0.92112268518518514</v>
      </c>
    </row>
    <row r="92" spans="3:16" x14ac:dyDescent="0.35">
      <c r="C92" s="21">
        <v>10031906551</v>
      </c>
      <c r="D92" s="21" t="s">
        <v>266</v>
      </c>
      <c r="E92" s="21">
        <v>10</v>
      </c>
      <c r="F92" s="21" t="s">
        <v>267</v>
      </c>
      <c r="G92" s="21" t="s">
        <v>107</v>
      </c>
      <c r="H92" s="21">
        <v>48</v>
      </c>
      <c r="I92" s="8" t="s">
        <v>99</v>
      </c>
      <c r="J92" s="20">
        <v>46182</v>
      </c>
      <c r="K92" s="26">
        <v>0.64340277777777777</v>
      </c>
      <c r="L92" s="21" t="s">
        <v>94</v>
      </c>
      <c r="M92" s="21">
        <v>77</v>
      </c>
      <c r="N92" s="8" t="s">
        <v>245</v>
      </c>
      <c r="O92" s="20">
        <v>46182</v>
      </c>
      <c r="P92" s="26">
        <v>0.92</v>
      </c>
    </row>
    <row r="93" spans="3:16" x14ac:dyDescent="0.35">
      <c r="C93" s="21">
        <v>10031905016</v>
      </c>
      <c r="D93" s="21" t="s">
        <v>266</v>
      </c>
      <c r="E93" s="21">
        <v>10</v>
      </c>
      <c r="F93" s="21" t="s">
        <v>267</v>
      </c>
      <c r="G93" s="21" t="s">
        <v>107</v>
      </c>
      <c r="H93" s="21">
        <v>288</v>
      </c>
      <c r="I93" s="8" t="s">
        <v>99</v>
      </c>
      <c r="J93" s="20">
        <v>46182</v>
      </c>
      <c r="K93" s="26">
        <v>0.52039351851851856</v>
      </c>
      <c r="L93" s="21" t="s">
        <v>94</v>
      </c>
      <c r="M93" s="21">
        <v>77</v>
      </c>
      <c r="N93" s="8" t="s">
        <v>245</v>
      </c>
      <c r="O93" s="20">
        <v>46182</v>
      </c>
      <c r="P93" s="26">
        <v>0.91998842592592589</v>
      </c>
    </row>
    <row r="94" spans="3:16" x14ac:dyDescent="0.35">
      <c r="C94" s="21">
        <v>10031909519</v>
      </c>
      <c r="D94" s="21" t="s">
        <v>268</v>
      </c>
      <c r="E94" s="21">
        <v>2</v>
      </c>
      <c r="F94" s="21" t="s">
        <v>269</v>
      </c>
      <c r="G94" s="21" t="s">
        <v>116</v>
      </c>
      <c r="H94" s="21">
        <v>546</v>
      </c>
      <c r="I94" s="8" t="s">
        <v>93</v>
      </c>
      <c r="J94" s="20">
        <v>46182</v>
      </c>
      <c r="K94" s="26">
        <v>0.79804398148148148</v>
      </c>
      <c r="L94" s="21" t="s">
        <v>94</v>
      </c>
      <c r="M94" s="21">
        <v>100</v>
      </c>
      <c r="N94" s="8" t="s">
        <v>95</v>
      </c>
      <c r="O94" s="20">
        <v>46182</v>
      </c>
      <c r="P94" s="26">
        <v>0.91888888888888887</v>
      </c>
    </row>
    <row r="95" spans="3:16" x14ac:dyDescent="0.35">
      <c r="C95" s="21">
        <v>10031909506</v>
      </c>
      <c r="D95" s="21" t="s">
        <v>270</v>
      </c>
      <c r="E95" s="21">
        <v>3</v>
      </c>
      <c r="F95" s="21" t="s">
        <v>271</v>
      </c>
      <c r="G95" s="21" t="s">
        <v>116</v>
      </c>
      <c r="H95" s="21">
        <v>200</v>
      </c>
      <c r="I95" s="8" t="s">
        <v>93</v>
      </c>
      <c r="J95" s="20">
        <v>46182</v>
      </c>
      <c r="K95" s="26">
        <v>0.79796296296296299</v>
      </c>
      <c r="L95" s="21" t="s">
        <v>94</v>
      </c>
      <c r="M95" s="21">
        <v>100</v>
      </c>
      <c r="N95" s="8" t="s">
        <v>95</v>
      </c>
      <c r="O95" s="20">
        <v>46182</v>
      </c>
      <c r="P95" s="26">
        <v>0.91887731481481483</v>
      </c>
    </row>
    <row r="96" spans="3:16" x14ac:dyDescent="0.35">
      <c r="C96" s="21">
        <v>10031909504</v>
      </c>
      <c r="D96" s="21" t="s">
        <v>272</v>
      </c>
      <c r="E96" s="21">
        <v>5</v>
      </c>
      <c r="F96" s="21" t="s">
        <v>273</v>
      </c>
      <c r="G96" s="21" t="s">
        <v>116</v>
      </c>
      <c r="H96" s="21">
        <v>240</v>
      </c>
      <c r="I96" s="8" t="s">
        <v>93</v>
      </c>
      <c r="J96" s="20">
        <v>46182</v>
      </c>
      <c r="K96" s="26">
        <v>0.79795138888888884</v>
      </c>
      <c r="L96" s="21" t="s">
        <v>94</v>
      </c>
      <c r="M96" s="21">
        <v>100</v>
      </c>
      <c r="N96" s="8" t="s">
        <v>95</v>
      </c>
      <c r="O96" s="20">
        <v>46182</v>
      </c>
      <c r="P96" s="26">
        <v>0.91887731481481483</v>
      </c>
    </row>
    <row r="97" spans="3:16" x14ac:dyDescent="0.35">
      <c r="C97" s="21">
        <v>10031909502</v>
      </c>
      <c r="D97" s="21" t="s">
        <v>274</v>
      </c>
      <c r="E97" s="21">
        <v>10</v>
      </c>
      <c r="F97" s="21" t="s">
        <v>275</v>
      </c>
      <c r="G97" s="21" t="s">
        <v>116</v>
      </c>
      <c r="H97" s="21">
        <v>360</v>
      </c>
      <c r="I97" s="8" t="s">
        <v>93</v>
      </c>
      <c r="J97" s="20">
        <v>46182</v>
      </c>
      <c r="K97" s="26">
        <v>0.7979398148148148</v>
      </c>
      <c r="L97" s="21" t="s">
        <v>94</v>
      </c>
      <c r="M97" s="21">
        <v>100</v>
      </c>
      <c r="N97" s="8" t="s">
        <v>95</v>
      </c>
      <c r="O97" s="20">
        <v>46182</v>
      </c>
      <c r="P97" s="26">
        <v>0.91887731481481483</v>
      </c>
    </row>
    <row r="98" spans="3:16" x14ac:dyDescent="0.35">
      <c r="C98" s="21">
        <v>10031909501</v>
      </c>
      <c r="D98" s="21" t="s">
        <v>276</v>
      </c>
      <c r="E98" s="21">
        <v>4</v>
      </c>
      <c r="F98" s="21" t="s">
        <v>277</v>
      </c>
      <c r="G98" s="21" t="s">
        <v>116</v>
      </c>
      <c r="H98" s="21">
        <v>600</v>
      </c>
      <c r="I98" s="8" t="s">
        <v>93</v>
      </c>
      <c r="J98" s="20">
        <v>46182</v>
      </c>
      <c r="K98" s="26">
        <v>0.79792824074074076</v>
      </c>
      <c r="L98" s="21" t="s">
        <v>94</v>
      </c>
      <c r="M98" s="21">
        <v>100</v>
      </c>
      <c r="N98" s="8" t="s">
        <v>95</v>
      </c>
      <c r="O98" s="20">
        <v>46182</v>
      </c>
      <c r="P98" s="26">
        <v>0.91886574074074079</v>
      </c>
    </row>
    <row r="99" spans="3:16" x14ac:dyDescent="0.35">
      <c r="C99" s="21">
        <v>10031909500</v>
      </c>
      <c r="D99" s="21" t="s">
        <v>278</v>
      </c>
      <c r="E99" s="21">
        <v>7</v>
      </c>
      <c r="F99" s="21" t="s">
        <v>279</v>
      </c>
      <c r="G99" s="21" t="s">
        <v>116</v>
      </c>
      <c r="H99" s="21">
        <v>240</v>
      </c>
      <c r="I99" s="8" t="s">
        <v>93</v>
      </c>
      <c r="J99" s="20">
        <v>46182</v>
      </c>
      <c r="K99" s="26">
        <v>0.79792824074074076</v>
      </c>
      <c r="L99" s="21" t="s">
        <v>94</v>
      </c>
      <c r="M99" s="21">
        <v>100</v>
      </c>
      <c r="N99" s="8" t="s">
        <v>95</v>
      </c>
      <c r="O99" s="20">
        <v>46182</v>
      </c>
      <c r="P99" s="26">
        <v>0.91886574074074079</v>
      </c>
    </row>
    <row r="100" spans="3:16" x14ac:dyDescent="0.35">
      <c r="C100" s="21">
        <v>10031909497</v>
      </c>
      <c r="D100" s="21" t="s">
        <v>270</v>
      </c>
      <c r="E100" s="21">
        <v>3</v>
      </c>
      <c r="F100" s="21" t="s">
        <v>271</v>
      </c>
      <c r="G100" s="21" t="s">
        <v>116</v>
      </c>
      <c r="H100" s="21">
        <v>440</v>
      </c>
      <c r="I100" s="8" t="s">
        <v>93</v>
      </c>
      <c r="J100" s="20">
        <v>46182</v>
      </c>
      <c r="K100" s="26">
        <v>0.79790509259259257</v>
      </c>
      <c r="L100" s="21" t="s">
        <v>94</v>
      </c>
      <c r="M100" s="21">
        <v>100</v>
      </c>
      <c r="N100" s="8" t="s">
        <v>95</v>
      </c>
      <c r="O100" s="20">
        <v>46182</v>
      </c>
      <c r="P100" s="26">
        <v>0.91885416666666664</v>
      </c>
    </row>
    <row r="101" spans="3:16" x14ac:dyDescent="0.35">
      <c r="C101" s="21">
        <v>10031909082</v>
      </c>
      <c r="D101" s="21" t="s">
        <v>280</v>
      </c>
      <c r="E101" s="21">
        <v>1</v>
      </c>
      <c r="F101" s="21" t="s">
        <v>281</v>
      </c>
      <c r="G101" s="21" t="s">
        <v>116</v>
      </c>
      <c r="H101" s="21">
        <v>420</v>
      </c>
      <c r="I101" s="8" t="s">
        <v>93</v>
      </c>
      <c r="J101" s="20">
        <v>46182</v>
      </c>
      <c r="K101" s="26">
        <v>0.78537037037037039</v>
      </c>
      <c r="L101" s="21" t="s">
        <v>94</v>
      </c>
      <c r="M101" s="21">
        <v>100</v>
      </c>
      <c r="N101" s="8" t="s">
        <v>95</v>
      </c>
      <c r="O101" s="20">
        <v>46182</v>
      </c>
      <c r="P101" s="26">
        <v>0.91885416666666664</v>
      </c>
    </row>
    <row r="102" spans="3:16" x14ac:dyDescent="0.35">
      <c r="C102" s="21">
        <v>10031909076</v>
      </c>
      <c r="D102" s="21" t="s">
        <v>282</v>
      </c>
      <c r="E102" s="21">
        <v>13</v>
      </c>
      <c r="F102" s="21" t="s">
        <v>283</v>
      </c>
      <c r="G102" s="21" t="s">
        <v>116</v>
      </c>
      <c r="H102" s="21">
        <v>120</v>
      </c>
      <c r="I102" s="8" t="s">
        <v>93</v>
      </c>
      <c r="J102" s="20">
        <v>46182</v>
      </c>
      <c r="K102" s="26">
        <v>0.78532407407407412</v>
      </c>
      <c r="L102" s="21" t="s">
        <v>94</v>
      </c>
      <c r="M102" s="21">
        <v>100</v>
      </c>
      <c r="N102" s="8" t="s">
        <v>95</v>
      </c>
      <c r="O102" s="20">
        <v>46182</v>
      </c>
      <c r="P102" s="26">
        <v>0.91885416666666664</v>
      </c>
    </row>
    <row r="103" spans="3:16" x14ac:dyDescent="0.35">
      <c r="C103" s="21">
        <v>10031909067</v>
      </c>
      <c r="D103" s="21" t="s">
        <v>284</v>
      </c>
      <c r="E103" s="21">
        <v>3</v>
      </c>
      <c r="F103" s="21" t="s">
        <v>285</v>
      </c>
      <c r="G103" s="21" t="s">
        <v>116</v>
      </c>
      <c r="H103" s="21">
        <v>570</v>
      </c>
      <c r="I103" s="8" t="s">
        <v>93</v>
      </c>
      <c r="J103" s="20">
        <v>46182</v>
      </c>
      <c r="K103" s="26">
        <v>0.7852662037037037</v>
      </c>
      <c r="L103" s="21" t="s">
        <v>94</v>
      </c>
      <c r="M103" s="21">
        <v>100</v>
      </c>
      <c r="N103" s="8" t="s">
        <v>95</v>
      </c>
      <c r="O103" s="20">
        <v>46182</v>
      </c>
      <c r="P103" s="26">
        <v>0.9188425925925926</v>
      </c>
    </row>
    <row r="104" spans="3:16" x14ac:dyDescent="0.35">
      <c r="C104" s="21">
        <v>10031909070</v>
      </c>
      <c r="D104" s="21" t="s">
        <v>286</v>
      </c>
      <c r="E104" s="21">
        <v>7</v>
      </c>
      <c r="F104" s="21" t="s">
        <v>287</v>
      </c>
      <c r="G104" s="21" t="s">
        <v>116</v>
      </c>
      <c r="H104" s="21">
        <v>420</v>
      </c>
      <c r="I104" s="8" t="s">
        <v>93</v>
      </c>
      <c r="J104" s="20">
        <v>46182</v>
      </c>
      <c r="K104" s="26">
        <v>0.78528935185185189</v>
      </c>
      <c r="L104" s="21" t="s">
        <v>94</v>
      </c>
      <c r="M104" s="21">
        <v>103</v>
      </c>
      <c r="N104" s="8" t="s">
        <v>95</v>
      </c>
      <c r="O104" s="20">
        <v>46182</v>
      </c>
      <c r="P104" s="26">
        <v>0.9188425925925926</v>
      </c>
    </row>
    <row r="105" spans="3:16" x14ac:dyDescent="0.35">
      <c r="C105" s="21">
        <v>10031909072</v>
      </c>
      <c r="D105" s="21" t="s">
        <v>288</v>
      </c>
      <c r="E105" s="21">
        <v>4</v>
      </c>
      <c r="F105" s="21" t="s">
        <v>289</v>
      </c>
      <c r="G105" s="21" t="s">
        <v>116</v>
      </c>
      <c r="H105" s="21">
        <v>150</v>
      </c>
      <c r="I105" s="8" t="s">
        <v>93</v>
      </c>
      <c r="J105" s="20">
        <v>46182</v>
      </c>
      <c r="K105" s="26">
        <v>0.78530092592592593</v>
      </c>
      <c r="L105" s="21" t="s">
        <v>94</v>
      </c>
      <c r="M105" s="21">
        <v>100</v>
      </c>
      <c r="N105" s="8" t="s">
        <v>95</v>
      </c>
      <c r="O105" s="20">
        <v>46182</v>
      </c>
      <c r="P105" s="26">
        <v>0.9188425925925926</v>
      </c>
    </row>
    <row r="106" spans="3:16" x14ac:dyDescent="0.35">
      <c r="C106" s="21">
        <v>10031907134</v>
      </c>
      <c r="D106" s="21" t="s">
        <v>290</v>
      </c>
      <c r="E106" s="21">
        <v>1</v>
      </c>
      <c r="F106" s="21" t="s">
        <v>291</v>
      </c>
      <c r="G106" s="21" t="s">
        <v>292</v>
      </c>
      <c r="H106" s="21">
        <v>720</v>
      </c>
      <c r="I106" s="8" t="s">
        <v>93</v>
      </c>
      <c r="J106" s="20">
        <v>46182</v>
      </c>
      <c r="K106" s="26">
        <v>0.68533564814814818</v>
      </c>
      <c r="L106" s="21" t="s">
        <v>94</v>
      </c>
      <c r="M106" s="21">
        <v>100</v>
      </c>
      <c r="N106" s="8" t="s">
        <v>95</v>
      </c>
      <c r="O106" s="20">
        <v>46182</v>
      </c>
      <c r="P106" s="26">
        <v>0.91879629629629633</v>
      </c>
    </row>
    <row r="107" spans="3:16" x14ac:dyDescent="0.35">
      <c r="C107" s="21">
        <v>10031909511</v>
      </c>
      <c r="D107" s="21" t="s">
        <v>293</v>
      </c>
      <c r="E107" s="21">
        <v>3</v>
      </c>
      <c r="F107" s="21" t="s">
        <v>294</v>
      </c>
      <c r="G107" s="21" t="s">
        <v>116</v>
      </c>
      <c r="H107" s="25">
        <v>2520</v>
      </c>
      <c r="I107" s="8" t="s">
        <v>93</v>
      </c>
      <c r="J107" s="20">
        <v>46182</v>
      </c>
      <c r="K107" s="26">
        <v>0.79799768518518521</v>
      </c>
      <c r="L107" s="21" t="s">
        <v>94</v>
      </c>
      <c r="M107" s="21">
        <v>100</v>
      </c>
      <c r="N107" s="8" t="s">
        <v>95</v>
      </c>
      <c r="O107" s="20">
        <v>46182</v>
      </c>
      <c r="P107" s="26">
        <v>0.91652777777777783</v>
      </c>
    </row>
    <row r="108" spans="3:16" x14ac:dyDescent="0.35">
      <c r="C108" s="21">
        <v>10031909079</v>
      </c>
      <c r="D108" s="21" t="s">
        <v>295</v>
      </c>
      <c r="E108" s="21">
        <v>9</v>
      </c>
      <c r="F108" s="21" t="s">
        <v>283</v>
      </c>
      <c r="G108" s="21" t="s">
        <v>116</v>
      </c>
      <c r="H108" s="21">
        <v>242</v>
      </c>
      <c r="I108" s="8" t="s">
        <v>93</v>
      </c>
      <c r="J108" s="20">
        <v>46182</v>
      </c>
      <c r="K108" s="26">
        <v>0.7853472222222222</v>
      </c>
      <c r="L108" s="21" t="s">
        <v>94</v>
      </c>
      <c r="M108" s="21">
        <v>100</v>
      </c>
      <c r="N108" s="8" t="s">
        <v>95</v>
      </c>
      <c r="O108" s="20">
        <v>46182</v>
      </c>
      <c r="P108" s="26">
        <v>0.91652777777777783</v>
      </c>
    </row>
    <row r="109" spans="3:16" x14ac:dyDescent="0.35">
      <c r="C109" s="21">
        <v>10031909080</v>
      </c>
      <c r="D109" s="21" t="s">
        <v>296</v>
      </c>
      <c r="E109" s="21">
        <v>6</v>
      </c>
      <c r="F109" s="21" t="s">
        <v>297</v>
      </c>
      <c r="G109" s="21" t="s">
        <v>116</v>
      </c>
      <c r="H109" s="21">
        <v>240</v>
      </c>
      <c r="I109" s="8" t="s">
        <v>93</v>
      </c>
      <c r="J109" s="20">
        <v>46182</v>
      </c>
      <c r="K109" s="26">
        <v>0.78535879629629635</v>
      </c>
      <c r="L109" s="21" t="s">
        <v>94</v>
      </c>
      <c r="M109" s="21">
        <v>100</v>
      </c>
      <c r="N109" s="8" t="s">
        <v>95</v>
      </c>
      <c r="O109" s="20">
        <v>46182</v>
      </c>
      <c r="P109" s="26">
        <v>0.91652777777777783</v>
      </c>
    </row>
    <row r="110" spans="3:16" x14ac:dyDescent="0.35">
      <c r="C110" s="21">
        <v>10031909073</v>
      </c>
      <c r="D110" s="21" t="s">
        <v>298</v>
      </c>
      <c r="E110" s="21">
        <v>12</v>
      </c>
      <c r="F110" s="21" t="s">
        <v>283</v>
      </c>
      <c r="G110" s="21" t="s">
        <v>116</v>
      </c>
      <c r="H110" s="21">
        <v>144</v>
      </c>
      <c r="I110" s="8" t="s">
        <v>93</v>
      </c>
      <c r="J110" s="20">
        <v>46182</v>
      </c>
      <c r="K110" s="26">
        <v>0.78530092592592593</v>
      </c>
      <c r="L110" s="21" t="s">
        <v>94</v>
      </c>
      <c r="M110" s="21">
        <v>100</v>
      </c>
      <c r="N110" s="8" t="s">
        <v>95</v>
      </c>
      <c r="O110" s="20">
        <v>46182</v>
      </c>
      <c r="P110" s="26">
        <v>0.91651620370370368</v>
      </c>
    </row>
    <row r="111" spans="3:16" x14ac:dyDescent="0.35">
      <c r="C111" s="21">
        <v>10031909075</v>
      </c>
      <c r="D111" s="21" t="s">
        <v>299</v>
      </c>
      <c r="E111" s="21">
        <v>13</v>
      </c>
      <c r="F111" s="21" t="s">
        <v>283</v>
      </c>
      <c r="G111" s="21" t="s">
        <v>116</v>
      </c>
      <c r="H111" s="21">
        <v>48</v>
      </c>
      <c r="I111" s="8" t="s">
        <v>93</v>
      </c>
      <c r="J111" s="20">
        <v>46182</v>
      </c>
      <c r="K111" s="26">
        <v>0.78532407407407412</v>
      </c>
      <c r="L111" s="21" t="s">
        <v>94</v>
      </c>
      <c r="M111" s="21">
        <v>100</v>
      </c>
      <c r="N111" s="8" t="s">
        <v>95</v>
      </c>
      <c r="O111" s="20">
        <v>46182</v>
      </c>
      <c r="P111" s="26">
        <v>0.91651620370370368</v>
      </c>
    </row>
    <row r="112" spans="3:16" x14ac:dyDescent="0.35">
      <c r="C112" s="21">
        <v>10031909078</v>
      </c>
      <c r="D112" s="21" t="s">
        <v>300</v>
      </c>
      <c r="E112" s="21">
        <v>5</v>
      </c>
      <c r="F112" s="21" t="s">
        <v>297</v>
      </c>
      <c r="G112" s="21" t="s">
        <v>116</v>
      </c>
      <c r="H112" s="21">
        <v>360</v>
      </c>
      <c r="I112" s="8" t="s">
        <v>93</v>
      </c>
      <c r="J112" s="20">
        <v>46182</v>
      </c>
      <c r="K112" s="26">
        <v>0.78533564814814816</v>
      </c>
      <c r="L112" s="21" t="s">
        <v>94</v>
      </c>
      <c r="M112" s="21">
        <v>100</v>
      </c>
      <c r="N112" s="8" t="s">
        <v>95</v>
      </c>
      <c r="O112" s="20">
        <v>46182</v>
      </c>
      <c r="P112" s="26">
        <v>0.91651620370370368</v>
      </c>
    </row>
    <row r="113" spans="3:16" x14ac:dyDescent="0.35">
      <c r="C113" s="21">
        <v>10031909065</v>
      </c>
      <c r="D113" s="21" t="s">
        <v>301</v>
      </c>
      <c r="E113" s="21">
        <v>10</v>
      </c>
      <c r="F113" s="21" t="s">
        <v>302</v>
      </c>
      <c r="G113" s="21" t="s">
        <v>116</v>
      </c>
      <c r="H113" s="21">
        <v>350</v>
      </c>
      <c r="I113" s="8" t="s">
        <v>93</v>
      </c>
      <c r="J113" s="20">
        <v>46182</v>
      </c>
      <c r="K113" s="26">
        <v>0.78525462962962966</v>
      </c>
      <c r="L113" s="21" t="s">
        <v>94</v>
      </c>
      <c r="M113" s="21">
        <v>100</v>
      </c>
      <c r="N113" s="8" t="s">
        <v>95</v>
      </c>
      <c r="O113" s="20">
        <v>46182</v>
      </c>
      <c r="P113" s="26">
        <v>0.91650462962962964</v>
      </c>
    </row>
    <row r="114" spans="3:16" x14ac:dyDescent="0.35">
      <c r="C114" s="21">
        <v>10031909066</v>
      </c>
      <c r="D114" s="21" t="s">
        <v>303</v>
      </c>
      <c r="E114" s="21">
        <v>6</v>
      </c>
      <c r="F114" s="21" t="s">
        <v>304</v>
      </c>
      <c r="G114" s="21" t="s">
        <v>116</v>
      </c>
      <c r="H114" s="21">
        <v>600</v>
      </c>
      <c r="I114" s="8" t="s">
        <v>93</v>
      </c>
      <c r="J114" s="20">
        <v>46182</v>
      </c>
      <c r="K114" s="26">
        <v>0.78525462962962966</v>
      </c>
      <c r="L114" s="21" t="s">
        <v>94</v>
      </c>
      <c r="M114" s="21">
        <v>100</v>
      </c>
      <c r="N114" s="8" t="s">
        <v>95</v>
      </c>
      <c r="O114" s="20">
        <v>46182</v>
      </c>
      <c r="P114" s="26">
        <v>0.91650462962962964</v>
      </c>
    </row>
    <row r="115" spans="3:16" x14ac:dyDescent="0.35">
      <c r="C115" s="21">
        <v>10031909068</v>
      </c>
      <c r="D115" s="21" t="s">
        <v>305</v>
      </c>
      <c r="E115" s="21">
        <v>3</v>
      </c>
      <c r="F115" s="21" t="s">
        <v>306</v>
      </c>
      <c r="G115" s="21" t="s">
        <v>116</v>
      </c>
      <c r="H115" s="21">
        <v>728</v>
      </c>
      <c r="I115" s="8" t="s">
        <v>93</v>
      </c>
      <c r="J115" s="20">
        <v>46182</v>
      </c>
      <c r="K115" s="26">
        <v>0.78527777777777774</v>
      </c>
      <c r="L115" s="21" t="s">
        <v>94</v>
      </c>
      <c r="M115" s="21">
        <v>100</v>
      </c>
      <c r="N115" s="8" t="s">
        <v>95</v>
      </c>
      <c r="O115" s="20">
        <v>46182</v>
      </c>
      <c r="P115" s="26">
        <v>0.91650462962962964</v>
      </c>
    </row>
    <row r="116" spans="3:16" x14ac:dyDescent="0.35">
      <c r="C116" s="21">
        <v>10031909064</v>
      </c>
      <c r="D116" s="21" t="s">
        <v>307</v>
      </c>
      <c r="E116" s="21">
        <v>10</v>
      </c>
      <c r="F116" s="21" t="s">
        <v>302</v>
      </c>
      <c r="G116" s="21" t="s">
        <v>116</v>
      </c>
      <c r="H116" s="21">
        <v>210</v>
      </c>
      <c r="I116" s="8" t="s">
        <v>93</v>
      </c>
      <c r="J116" s="20">
        <v>46182</v>
      </c>
      <c r="K116" s="26">
        <v>0.78524305555555551</v>
      </c>
      <c r="L116" s="21" t="s">
        <v>94</v>
      </c>
      <c r="M116" s="21">
        <v>100</v>
      </c>
      <c r="N116" s="8" t="s">
        <v>95</v>
      </c>
      <c r="O116" s="20">
        <v>46182</v>
      </c>
      <c r="P116" s="26">
        <v>0.9164930555555556</v>
      </c>
    </row>
    <row r="117" spans="3:16" x14ac:dyDescent="0.35">
      <c r="C117" s="21">
        <v>10031904046</v>
      </c>
      <c r="D117" s="21" t="s">
        <v>308</v>
      </c>
      <c r="E117" s="21">
        <v>3</v>
      </c>
      <c r="F117" s="21" t="s">
        <v>309</v>
      </c>
      <c r="G117" s="21" t="s">
        <v>116</v>
      </c>
      <c r="H117" s="21">
        <v>324</v>
      </c>
      <c r="I117" s="8" t="s">
        <v>93</v>
      </c>
      <c r="J117" s="20">
        <v>46182</v>
      </c>
      <c r="K117" s="26">
        <v>0.46555555555555556</v>
      </c>
      <c r="L117" s="21" t="s">
        <v>94</v>
      </c>
      <c r="M117" s="21">
        <v>100</v>
      </c>
      <c r="N117" s="8" t="s">
        <v>95</v>
      </c>
      <c r="O117" s="20">
        <v>46182</v>
      </c>
      <c r="P117" s="26">
        <v>0.91644675925925922</v>
      </c>
    </row>
    <row r="118" spans="3:16" x14ac:dyDescent="0.35">
      <c r="C118" s="21">
        <v>10031904047</v>
      </c>
      <c r="D118" s="21" t="s">
        <v>308</v>
      </c>
      <c r="E118" s="21">
        <v>3</v>
      </c>
      <c r="F118" s="21" t="s">
        <v>309</v>
      </c>
      <c r="G118" s="21" t="s">
        <v>116</v>
      </c>
      <c r="H118" s="21">
        <v>324</v>
      </c>
      <c r="I118" s="8" t="s">
        <v>93</v>
      </c>
      <c r="J118" s="20">
        <v>46182</v>
      </c>
      <c r="K118" s="26">
        <v>0.46556712962962965</v>
      </c>
      <c r="L118" s="21" t="s">
        <v>94</v>
      </c>
      <c r="M118" s="21">
        <v>100</v>
      </c>
      <c r="N118" s="8" t="s">
        <v>95</v>
      </c>
      <c r="O118" s="20">
        <v>46182</v>
      </c>
      <c r="P118" s="26">
        <v>0.91644675925925922</v>
      </c>
    </row>
    <row r="119" spans="3:16" x14ac:dyDescent="0.35">
      <c r="C119" s="21">
        <v>10031907259</v>
      </c>
      <c r="D119" s="21" t="s">
        <v>310</v>
      </c>
      <c r="E119" s="21">
        <v>1</v>
      </c>
      <c r="F119" s="21" t="s">
        <v>311</v>
      </c>
      <c r="G119" s="21" t="s">
        <v>312</v>
      </c>
      <c r="H119" s="25">
        <v>1400</v>
      </c>
      <c r="I119" s="8" t="s">
        <v>93</v>
      </c>
      <c r="J119" s="20">
        <v>46182</v>
      </c>
      <c r="K119" s="26">
        <v>0.68560185185185185</v>
      </c>
      <c r="L119" s="21" t="s">
        <v>94</v>
      </c>
      <c r="M119" s="21">
        <v>100</v>
      </c>
      <c r="N119" s="8" t="s">
        <v>102</v>
      </c>
      <c r="O119" s="20">
        <v>46182</v>
      </c>
      <c r="P119" s="26">
        <v>0.91493055555555558</v>
      </c>
    </row>
    <row r="120" spans="3:16" x14ac:dyDescent="0.35">
      <c r="C120" s="21">
        <v>10031909505</v>
      </c>
      <c r="D120" s="21" t="s">
        <v>313</v>
      </c>
      <c r="E120" s="21">
        <v>5</v>
      </c>
      <c r="F120" s="21" t="s">
        <v>273</v>
      </c>
      <c r="G120" s="21" t="s">
        <v>116</v>
      </c>
      <c r="H120" s="21">
        <v>360</v>
      </c>
      <c r="I120" s="8" t="s">
        <v>93</v>
      </c>
      <c r="J120" s="20">
        <v>46182</v>
      </c>
      <c r="K120" s="26">
        <v>0.79796296296296299</v>
      </c>
      <c r="L120" s="21" t="s">
        <v>94</v>
      </c>
      <c r="M120" s="21">
        <v>100</v>
      </c>
      <c r="N120" s="8" t="s">
        <v>95</v>
      </c>
      <c r="O120" s="20">
        <v>46182</v>
      </c>
      <c r="P120" s="26">
        <v>0.91415509259259264</v>
      </c>
    </row>
    <row r="121" spans="3:16" x14ac:dyDescent="0.35">
      <c r="C121" s="21">
        <v>10031909084</v>
      </c>
      <c r="D121" s="21" t="s">
        <v>314</v>
      </c>
      <c r="E121" s="21">
        <v>12</v>
      </c>
      <c r="F121" s="21" t="s">
        <v>115</v>
      </c>
      <c r="G121" s="21" t="s">
        <v>116</v>
      </c>
      <c r="H121" s="21">
        <v>300</v>
      </c>
      <c r="I121" s="8" t="s">
        <v>93</v>
      </c>
      <c r="J121" s="20">
        <v>46182</v>
      </c>
      <c r="K121" s="26">
        <v>0.78538194444444442</v>
      </c>
      <c r="L121" s="21" t="s">
        <v>94</v>
      </c>
      <c r="M121" s="21">
        <v>100</v>
      </c>
      <c r="N121" s="8" t="s">
        <v>95</v>
      </c>
      <c r="O121" s="20">
        <v>46182</v>
      </c>
      <c r="P121" s="26">
        <v>0.91415509259259264</v>
      </c>
    </row>
    <row r="122" spans="3:16" x14ac:dyDescent="0.35">
      <c r="C122" s="21">
        <v>10031909074</v>
      </c>
      <c r="D122" s="21" t="s">
        <v>315</v>
      </c>
      <c r="E122" s="21">
        <v>11</v>
      </c>
      <c r="F122" s="21" t="s">
        <v>283</v>
      </c>
      <c r="G122" s="21" t="s">
        <v>116</v>
      </c>
      <c r="H122" s="21">
        <v>72</v>
      </c>
      <c r="I122" s="8" t="s">
        <v>93</v>
      </c>
      <c r="J122" s="20">
        <v>46182</v>
      </c>
      <c r="K122" s="26">
        <v>0.78531249999999997</v>
      </c>
      <c r="L122" s="21" t="s">
        <v>94</v>
      </c>
      <c r="M122" s="21">
        <v>100</v>
      </c>
      <c r="N122" s="8" t="s">
        <v>95</v>
      </c>
      <c r="O122" s="20">
        <v>46182</v>
      </c>
      <c r="P122" s="26">
        <v>0.91414351851851849</v>
      </c>
    </row>
    <row r="123" spans="3:16" x14ac:dyDescent="0.35">
      <c r="C123" s="21">
        <v>10031905015</v>
      </c>
      <c r="D123" s="21" t="s">
        <v>316</v>
      </c>
      <c r="E123" s="21">
        <v>3</v>
      </c>
      <c r="F123" s="21" t="s">
        <v>317</v>
      </c>
      <c r="G123" s="21" t="s">
        <v>107</v>
      </c>
      <c r="H123" s="21">
        <v>16</v>
      </c>
      <c r="I123" s="8" t="s">
        <v>99</v>
      </c>
      <c r="J123" s="20">
        <v>46182</v>
      </c>
      <c r="K123" s="26">
        <v>0.52039351851851856</v>
      </c>
      <c r="L123" s="21" t="s">
        <v>94</v>
      </c>
      <c r="M123" s="21">
        <v>50</v>
      </c>
      <c r="N123" s="8" t="s">
        <v>95</v>
      </c>
      <c r="O123" s="20">
        <v>46182</v>
      </c>
      <c r="P123" s="26">
        <v>0.91409722222222223</v>
      </c>
    </row>
    <row r="124" spans="3:16" x14ac:dyDescent="0.35">
      <c r="C124" s="21">
        <v>10031909484</v>
      </c>
      <c r="D124" s="21" t="s">
        <v>318</v>
      </c>
      <c r="E124" s="21">
        <v>1</v>
      </c>
      <c r="F124" s="21" t="s">
        <v>319</v>
      </c>
      <c r="G124" s="21" t="s">
        <v>92</v>
      </c>
      <c r="H124" s="25">
        <v>1200</v>
      </c>
      <c r="I124" s="8" t="s">
        <v>93</v>
      </c>
      <c r="J124" s="20">
        <v>46182</v>
      </c>
      <c r="K124" s="26">
        <v>0.7974768518518518</v>
      </c>
      <c r="L124" s="21" t="s">
        <v>94</v>
      </c>
      <c r="M124" s="21">
        <v>63</v>
      </c>
      <c r="N124" s="8" t="s">
        <v>102</v>
      </c>
      <c r="O124" s="20">
        <v>46182</v>
      </c>
      <c r="P124" s="26">
        <v>0.9080555555555555</v>
      </c>
    </row>
    <row r="125" spans="3:16" x14ac:dyDescent="0.35">
      <c r="C125" s="21">
        <v>10031909469</v>
      </c>
      <c r="D125" s="21" t="s">
        <v>320</v>
      </c>
      <c r="E125" s="21">
        <v>2</v>
      </c>
      <c r="F125" s="21" t="s">
        <v>321</v>
      </c>
      <c r="G125" s="21" t="s">
        <v>92</v>
      </c>
      <c r="H125" s="25">
        <v>2400</v>
      </c>
      <c r="I125" s="8" t="s">
        <v>93</v>
      </c>
      <c r="J125" s="20">
        <v>46182</v>
      </c>
      <c r="K125" s="26">
        <v>0.79744212962962968</v>
      </c>
      <c r="L125" s="21" t="s">
        <v>94</v>
      </c>
      <c r="M125" s="21">
        <v>22</v>
      </c>
      <c r="N125" s="8" t="s">
        <v>102</v>
      </c>
      <c r="O125" s="20">
        <v>46182</v>
      </c>
      <c r="P125" s="26">
        <v>0.90804398148148147</v>
      </c>
    </row>
    <row r="126" spans="3:16" x14ac:dyDescent="0.35">
      <c r="C126" s="21">
        <v>10031909472</v>
      </c>
      <c r="D126" s="21" t="s">
        <v>322</v>
      </c>
      <c r="E126" s="21">
        <v>1</v>
      </c>
      <c r="F126" s="21" t="s">
        <v>323</v>
      </c>
      <c r="G126" s="21" t="s">
        <v>92</v>
      </c>
      <c r="H126" s="25">
        <v>3600</v>
      </c>
      <c r="I126" s="8" t="s">
        <v>93</v>
      </c>
      <c r="J126" s="20">
        <v>46182</v>
      </c>
      <c r="K126" s="26">
        <v>0.79745370370370372</v>
      </c>
      <c r="L126" s="21" t="s">
        <v>94</v>
      </c>
      <c r="M126" s="21">
        <v>43</v>
      </c>
      <c r="N126" s="8" t="s">
        <v>102</v>
      </c>
      <c r="O126" s="20">
        <v>46182</v>
      </c>
      <c r="P126" s="26">
        <v>0.90804398148148147</v>
      </c>
    </row>
    <row r="127" spans="3:16" x14ac:dyDescent="0.35">
      <c r="C127" s="21">
        <v>10031909477</v>
      </c>
      <c r="D127" s="21" t="s">
        <v>324</v>
      </c>
      <c r="E127" s="21">
        <v>1</v>
      </c>
      <c r="F127" s="21" t="s">
        <v>161</v>
      </c>
      <c r="G127" s="21" t="s">
        <v>92</v>
      </c>
      <c r="H127" s="25">
        <v>2500</v>
      </c>
      <c r="I127" s="8" t="s">
        <v>93</v>
      </c>
      <c r="J127" s="20">
        <v>46182</v>
      </c>
      <c r="K127" s="26">
        <v>0.79746527777777776</v>
      </c>
      <c r="L127" s="21" t="s">
        <v>94</v>
      </c>
      <c r="M127" s="21">
        <v>22</v>
      </c>
      <c r="N127" s="8" t="s">
        <v>102</v>
      </c>
      <c r="O127" s="20">
        <v>46182</v>
      </c>
      <c r="P127" s="26">
        <v>0.90804398148148147</v>
      </c>
    </row>
    <row r="128" spans="3:16" x14ac:dyDescent="0.35">
      <c r="C128" s="21">
        <v>10031909456</v>
      </c>
      <c r="D128" s="21" t="s">
        <v>325</v>
      </c>
      <c r="E128" s="21">
        <v>1</v>
      </c>
      <c r="F128" s="21" t="s">
        <v>326</v>
      </c>
      <c r="G128" s="21" t="s">
        <v>92</v>
      </c>
      <c r="H128" s="25">
        <v>2500</v>
      </c>
      <c r="I128" s="8" t="s">
        <v>93</v>
      </c>
      <c r="J128" s="20">
        <v>46182</v>
      </c>
      <c r="K128" s="26">
        <v>0.79741898148148149</v>
      </c>
      <c r="L128" s="21" t="s">
        <v>94</v>
      </c>
      <c r="M128" s="21">
        <v>63</v>
      </c>
      <c r="N128" s="8" t="s">
        <v>102</v>
      </c>
      <c r="O128" s="20">
        <v>46182</v>
      </c>
      <c r="P128" s="26">
        <v>0.90803240740740743</v>
      </c>
    </row>
    <row r="129" spans="3:16" x14ac:dyDescent="0.35">
      <c r="C129" s="21">
        <v>10031909463</v>
      </c>
      <c r="D129" s="21" t="s">
        <v>327</v>
      </c>
      <c r="E129" s="21">
        <v>1</v>
      </c>
      <c r="F129" s="21" t="s">
        <v>328</v>
      </c>
      <c r="G129" s="21" t="s">
        <v>92</v>
      </c>
      <c r="H129" s="25">
        <v>2502</v>
      </c>
      <c r="I129" s="8" t="s">
        <v>93</v>
      </c>
      <c r="J129" s="20">
        <v>46182</v>
      </c>
      <c r="K129" s="26">
        <v>0.79743055555555553</v>
      </c>
      <c r="L129" s="21" t="s">
        <v>94</v>
      </c>
      <c r="M129" s="21">
        <v>43</v>
      </c>
      <c r="N129" s="8" t="s">
        <v>102</v>
      </c>
      <c r="O129" s="20">
        <v>46182</v>
      </c>
      <c r="P129" s="26">
        <v>0.90803240740740743</v>
      </c>
    </row>
    <row r="130" spans="3:16" x14ac:dyDescent="0.35">
      <c r="C130" s="21">
        <v>10031909389</v>
      </c>
      <c r="D130" s="21" t="s">
        <v>329</v>
      </c>
      <c r="E130" s="21">
        <v>1</v>
      </c>
      <c r="F130" s="21" t="s">
        <v>330</v>
      </c>
      <c r="G130" s="21" t="s">
        <v>92</v>
      </c>
      <c r="H130" s="25">
        <v>5400</v>
      </c>
      <c r="I130" s="8" t="s">
        <v>93</v>
      </c>
      <c r="J130" s="20">
        <v>46182</v>
      </c>
      <c r="K130" s="26">
        <v>0.79725694444444439</v>
      </c>
      <c r="L130" s="21" t="s">
        <v>94</v>
      </c>
      <c r="M130" s="21">
        <v>43</v>
      </c>
      <c r="N130" s="8" t="s">
        <v>102</v>
      </c>
      <c r="O130" s="20">
        <v>46182</v>
      </c>
      <c r="P130" s="26">
        <v>0.90802083333333339</v>
      </c>
    </row>
    <row r="131" spans="3:16" x14ac:dyDescent="0.35">
      <c r="C131" s="21">
        <v>10031909478</v>
      </c>
      <c r="D131" s="21" t="s">
        <v>331</v>
      </c>
      <c r="E131" s="21">
        <v>1</v>
      </c>
      <c r="F131" s="21" t="s">
        <v>332</v>
      </c>
      <c r="G131" s="21" t="s">
        <v>92</v>
      </c>
      <c r="H131" s="25">
        <v>12200</v>
      </c>
      <c r="I131" s="8" t="s">
        <v>93</v>
      </c>
      <c r="J131" s="20">
        <v>46182</v>
      </c>
      <c r="K131" s="26">
        <v>0.79746527777777776</v>
      </c>
      <c r="L131" s="21" t="s">
        <v>94</v>
      </c>
      <c r="M131" s="21">
        <v>22</v>
      </c>
      <c r="N131" s="8" t="s">
        <v>102</v>
      </c>
      <c r="O131" s="20">
        <v>46182</v>
      </c>
      <c r="P131" s="26">
        <v>0.90571759259259255</v>
      </c>
    </row>
    <row r="132" spans="3:16" x14ac:dyDescent="0.35">
      <c r="C132" s="21">
        <v>10031909436</v>
      </c>
      <c r="D132" s="21" t="s">
        <v>333</v>
      </c>
      <c r="E132" s="21">
        <v>1</v>
      </c>
      <c r="F132" s="21" t="s">
        <v>334</v>
      </c>
      <c r="G132" s="21" t="s">
        <v>92</v>
      </c>
      <c r="H132" s="25">
        <v>5200</v>
      </c>
      <c r="I132" s="8" t="s">
        <v>93</v>
      </c>
      <c r="J132" s="20">
        <v>46182</v>
      </c>
      <c r="K132" s="26">
        <v>0.79736111111111108</v>
      </c>
      <c r="L132" s="21" t="s">
        <v>94</v>
      </c>
      <c r="M132" s="21">
        <v>43</v>
      </c>
      <c r="N132" s="8" t="s">
        <v>102</v>
      </c>
      <c r="O132" s="20">
        <v>46182</v>
      </c>
      <c r="P132" s="26">
        <v>0.90570601851851851</v>
      </c>
    </row>
    <row r="133" spans="3:16" x14ac:dyDescent="0.35">
      <c r="C133" s="21">
        <v>10031909443</v>
      </c>
      <c r="D133" s="21" t="s">
        <v>335</v>
      </c>
      <c r="E133" s="21">
        <v>1</v>
      </c>
      <c r="F133" s="21" t="s">
        <v>336</v>
      </c>
      <c r="G133" s="21" t="s">
        <v>92</v>
      </c>
      <c r="H133" s="25">
        <v>14400</v>
      </c>
      <c r="I133" s="8" t="s">
        <v>93</v>
      </c>
      <c r="J133" s="20">
        <v>46182</v>
      </c>
      <c r="K133" s="26">
        <v>0.79738425925925926</v>
      </c>
      <c r="L133" s="21" t="s">
        <v>94</v>
      </c>
      <c r="M133" s="21">
        <v>43</v>
      </c>
      <c r="N133" s="8" t="s">
        <v>102</v>
      </c>
      <c r="O133" s="20">
        <v>46182</v>
      </c>
      <c r="P133" s="26">
        <v>0.90570601851851851</v>
      </c>
    </row>
    <row r="134" spans="3:16" x14ac:dyDescent="0.35">
      <c r="C134" s="21">
        <v>10031909447</v>
      </c>
      <c r="D134" s="21" t="s">
        <v>337</v>
      </c>
      <c r="E134" s="21">
        <v>1</v>
      </c>
      <c r="F134" s="21" t="s">
        <v>338</v>
      </c>
      <c r="G134" s="21" t="s">
        <v>92</v>
      </c>
      <c r="H134" s="25">
        <v>1800</v>
      </c>
      <c r="I134" s="8" t="s">
        <v>93</v>
      </c>
      <c r="J134" s="20">
        <v>46182</v>
      </c>
      <c r="K134" s="26">
        <v>0.7973958333333333</v>
      </c>
      <c r="L134" s="21" t="s">
        <v>94</v>
      </c>
      <c r="M134" s="21">
        <v>63</v>
      </c>
      <c r="N134" s="8" t="s">
        <v>102</v>
      </c>
      <c r="O134" s="20">
        <v>46182</v>
      </c>
      <c r="P134" s="26">
        <v>0.90570601851851851</v>
      </c>
    </row>
    <row r="135" spans="3:16" x14ac:dyDescent="0.35">
      <c r="C135" s="21">
        <v>10031909423</v>
      </c>
      <c r="D135" s="21" t="s">
        <v>339</v>
      </c>
      <c r="E135" s="21">
        <v>1</v>
      </c>
      <c r="F135" s="21" t="s">
        <v>340</v>
      </c>
      <c r="G135" s="21" t="s">
        <v>92</v>
      </c>
      <c r="H135" s="25">
        <v>1500</v>
      </c>
      <c r="I135" s="8" t="s">
        <v>93</v>
      </c>
      <c r="J135" s="20">
        <v>46182</v>
      </c>
      <c r="K135" s="26">
        <v>0.797337962962963</v>
      </c>
      <c r="L135" s="21" t="s">
        <v>94</v>
      </c>
      <c r="M135" s="21">
        <v>22</v>
      </c>
      <c r="N135" s="8" t="s">
        <v>102</v>
      </c>
      <c r="O135" s="20">
        <v>46182</v>
      </c>
      <c r="P135" s="26">
        <v>0.90569444444444447</v>
      </c>
    </row>
    <row r="136" spans="3:16" x14ac:dyDescent="0.35">
      <c r="C136" s="21">
        <v>10031909417</v>
      </c>
      <c r="D136" s="21" t="s">
        <v>341</v>
      </c>
      <c r="E136" s="21">
        <v>1</v>
      </c>
      <c r="F136" s="21" t="s">
        <v>342</v>
      </c>
      <c r="G136" s="21" t="s">
        <v>92</v>
      </c>
      <c r="H136" s="25">
        <v>1200</v>
      </c>
      <c r="I136" s="8" t="s">
        <v>93</v>
      </c>
      <c r="J136" s="20">
        <v>46182</v>
      </c>
      <c r="K136" s="26">
        <v>0.79732638888888885</v>
      </c>
      <c r="L136" s="21" t="s">
        <v>94</v>
      </c>
      <c r="M136" s="21">
        <v>43</v>
      </c>
      <c r="N136" s="8" t="s">
        <v>102</v>
      </c>
      <c r="O136" s="20">
        <v>46182</v>
      </c>
      <c r="P136" s="26">
        <v>0.90569444444444447</v>
      </c>
    </row>
    <row r="137" spans="3:16" x14ac:dyDescent="0.35">
      <c r="C137" s="21">
        <v>10031909442</v>
      </c>
      <c r="D137" s="21" t="s">
        <v>343</v>
      </c>
      <c r="E137" s="21">
        <v>1</v>
      </c>
      <c r="F137" s="21" t="s">
        <v>344</v>
      </c>
      <c r="G137" s="21" t="s">
        <v>92</v>
      </c>
      <c r="H137" s="25">
        <v>10416</v>
      </c>
      <c r="I137" s="8" t="s">
        <v>93</v>
      </c>
      <c r="J137" s="20">
        <v>46182</v>
      </c>
      <c r="K137" s="26">
        <v>0.79738425925925926</v>
      </c>
      <c r="L137" s="21" t="s">
        <v>94</v>
      </c>
      <c r="M137" s="21">
        <v>43</v>
      </c>
      <c r="N137" s="8" t="s">
        <v>102</v>
      </c>
      <c r="O137" s="20">
        <v>46182</v>
      </c>
      <c r="P137" s="26">
        <v>0.90336805555555555</v>
      </c>
    </row>
    <row r="138" spans="3:16" x14ac:dyDescent="0.35">
      <c r="C138" s="21">
        <v>10031909445</v>
      </c>
      <c r="D138" s="21" t="s">
        <v>345</v>
      </c>
      <c r="E138" s="21">
        <v>1</v>
      </c>
      <c r="F138" s="21" t="s">
        <v>346</v>
      </c>
      <c r="G138" s="21" t="s">
        <v>92</v>
      </c>
      <c r="H138" s="25">
        <v>5000</v>
      </c>
      <c r="I138" s="8" t="s">
        <v>93</v>
      </c>
      <c r="J138" s="20">
        <v>46182</v>
      </c>
      <c r="K138" s="26">
        <v>0.79738425925925926</v>
      </c>
      <c r="L138" s="21" t="s">
        <v>94</v>
      </c>
      <c r="M138" s="21">
        <v>43</v>
      </c>
      <c r="N138" s="8" t="s">
        <v>102</v>
      </c>
      <c r="O138" s="20">
        <v>46182</v>
      </c>
      <c r="P138" s="26">
        <v>0.90336805555555555</v>
      </c>
    </row>
    <row r="139" spans="3:16" x14ac:dyDescent="0.35">
      <c r="C139" s="21">
        <v>10031909439</v>
      </c>
      <c r="D139" s="21" t="s">
        <v>347</v>
      </c>
      <c r="E139" s="21">
        <v>1</v>
      </c>
      <c r="F139" s="21" t="s">
        <v>348</v>
      </c>
      <c r="G139" s="21" t="s">
        <v>92</v>
      </c>
      <c r="H139" s="25">
        <v>5200</v>
      </c>
      <c r="I139" s="8" t="s">
        <v>93</v>
      </c>
      <c r="J139" s="20">
        <v>46182</v>
      </c>
      <c r="K139" s="26">
        <v>0.79737268518518523</v>
      </c>
      <c r="L139" s="21" t="s">
        <v>94</v>
      </c>
      <c r="M139" s="21">
        <v>43</v>
      </c>
      <c r="N139" s="8" t="s">
        <v>102</v>
      </c>
      <c r="O139" s="20">
        <v>46182</v>
      </c>
      <c r="P139" s="26">
        <v>0.90335648148148151</v>
      </c>
    </row>
    <row r="140" spans="3:16" x14ac:dyDescent="0.35">
      <c r="C140" s="21">
        <v>10031909395</v>
      </c>
      <c r="D140" s="21" t="s">
        <v>349</v>
      </c>
      <c r="E140" s="21">
        <v>1</v>
      </c>
      <c r="F140" s="21" t="s">
        <v>350</v>
      </c>
      <c r="G140" s="21" t="s">
        <v>92</v>
      </c>
      <c r="H140" s="25">
        <v>3200</v>
      </c>
      <c r="I140" s="8" t="s">
        <v>93</v>
      </c>
      <c r="J140" s="20">
        <v>46182</v>
      </c>
      <c r="K140" s="26">
        <v>0.79728009259259258</v>
      </c>
      <c r="L140" s="21" t="s">
        <v>94</v>
      </c>
      <c r="M140" s="21">
        <v>43</v>
      </c>
      <c r="N140" s="8" t="s">
        <v>102</v>
      </c>
      <c r="O140" s="20">
        <v>46182</v>
      </c>
      <c r="P140" s="26">
        <v>0.90335648148148151</v>
      </c>
    </row>
    <row r="141" spans="3:16" x14ac:dyDescent="0.35">
      <c r="C141" s="21">
        <v>10031909377</v>
      </c>
      <c r="D141" s="21" t="s">
        <v>351</v>
      </c>
      <c r="E141" s="21">
        <v>1</v>
      </c>
      <c r="F141" s="21" t="s">
        <v>352</v>
      </c>
      <c r="G141" s="21" t="s">
        <v>92</v>
      </c>
      <c r="H141" s="25">
        <v>2200</v>
      </c>
      <c r="I141" s="8" t="s">
        <v>93</v>
      </c>
      <c r="J141" s="20">
        <v>46182</v>
      </c>
      <c r="K141" s="26">
        <v>0.79723379629629632</v>
      </c>
      <c r="L141" s="21" t="s">
        <v>94</v>
      </c>
      <c r="M141" s="21">
        <v>43</v>
      </c>
      <c r="N141" s="8" t="s">
        <v>102</v>
      </c>
      <c r="O141" s="20">
        <v>46182</v>
      </c>
      <c r="P141" s="26">
        <v>0.90335648148148151</v>
      </c>
    </row>
    <row r="142" spans="3:16" x14ac:dyDescent="0.35">
      <c r="C142" s="21">
        <v>10031909337</v>
      </c>
      <c r="D142" s="21" t="s">
        <v>353</v>
      </c>
      <c r="E142" s="21">
        <v>1</v>
      </c>
      <c r="F142" s="21" t="s">
        <v>354</v>
      </c>
      <c r="G142" s="21" t="s">
        <v>92</v>
      </c>
      <c r="H142" s="25">
        <v>3000</v>
      </c>
      <c r="I142" s="8" t="s">
        <v>93</v>
      </c>
      <c r="J142" s="20">
        <v>46182</v>
      </c>
      <c r="K142" s="26">
        <v>0.79714120370370367</v>
      </c>
      <c r="L142" s="21" t="s">
        <v>94</v>
      </c>
      <c r="M142" s="21">
        <v>63</v>
      </c>
      <c r="N142" s="8" t="s">
        <v>102</v>
      </c>
      <c r="O142" s="20">
        <v>46182</v>
      </c>
      <c r="P142" s="26">
        <v>0.90334490740740736</v>
      </c>
    </row>
    <row r="143" spans="3:16" x14ac:dyDescent="0.35">
      <c r="C143" s="21">
        <v>10031909480</v>
      </c>
      <c r="D143" s="21" t="s">
        <v>355</v>
      </c>
      <c r="E143" s="21">
        <v>5</v>
      </c>
      <c r="F143" s="21" t="s">
        <v>356</v>
      </c>
      <c r="G143" s="21" t="s">
        <v>92</v>
      </c>
      <c r="H143" s="21">
        <v>800</v>
      </c>
      <c r="I143" s="8" t="s">
        <v>93</v>
      </c>
      <c r="J143" s="20">
        <v>46182</v>
      </c>
      <c r="K143" s="26">
        <v>0.7974768518518518</v>
      </c>
      <c r="L143" s="21" t="s">
        <v>94</v>
      </c>
      <c r="M143" s="21">
        <v>22</v>
      </c>
      <c r="N143" s="8" t="s">
        <v>102</v>
      </c>
      <c r="O143" s="20">
        <v>46182</v>
      </c>
      <c r="P143" s="26">
        <v>0.90104166666666663</v>
      </c>
    </row>
    <row r="144" spans="3:16" x14ac:dyDescent="0.35">
      <c r="C144" s="21">
        <v>10031909333</v>
      </c>
      <c r="D144" s="21" t="s">
        <v>357</v>
      </c>
      <c r="E144" s="21">
        <v>2</v>
      </c>
      <c r="F144" s="21" t="s">
        <v>358</v>
      </c>
      <c r="G144" s="21" t="s">
        <v>92</v>
      </c>
      <c r="H144" s="25">
        <v>3000</v>
      </c>
      <c r="I144" s="8" t="s">
        <v>93</v>
      </c>
      <c r="J144" s="20">
        <v>46182</v>
      </c>
      <c r="K144" s="26">
        <v>0.79714120370370367</v>
      </c>
      <c r="L144" s="21" t="s">
        <v>94</v>
      </c>
      <c r="M144" s="21">
        <v>43</v>
      </c>
      <c r="N144" s="8" t="s">
        <v>102</v>
      </c>
      <c r="O144" s="20">
        <v>46182</v>
      </c>
      <c r="P144" s="26">
        <v>0.90103009259259259</v>
      </c>
    </row>
    <row r="145" spans="3:16" x14ac:dyDescent="0.35">
      <c r="C145" s="21">
        <v>10031909438</v>
      </c>
      <c r="D145" s="21" t="s">
        <v>359</v>
      </c>
      <c r="E145" s="21">
        <v>1</v>
      </c>
      <c r="F145" s="21" t="s">
        <v>332</v>
      </c>
      <c r="G145" s="21" t="s">
        <v>92</v>
      </c>
      <c r="H145" s="25">
        <v>5320</v>
      </c>
      <c r="I145" s="8" t="s">
        <v>93</v>
      </c>
      <c r="J145" s="20">
        <v>46182</v>
      </c>
      <c r="K145" s="26">
        <v>0.79737268518518523</v>
      </c>
      <c r="L145" s="21" t="s">
        <v>94</v>
      </c>
      <c r="M145" s="21">
        <v>43</v>
      </c>
      <c r="N145" s="8" t="s">
        <v>102</v>
      </c>
      <c r="O145" s="20">
        <v>46182</v>
      </c>
      <c r="P145" s="26">
        <v>0.90103009259259259</v>
      </c>
    </row>
    <row r="146" spans="3:16" x14ac:dyDescent="0.35">
      <c r="C146" s="21">
        <v>10031909361</v>
      </c>
      <c r="D146" s="21" t="s">
        <v>360</v>
      </c>
      <c r="E146" s="21">
        <v>1</v>
      </c>
      <c r="F146" s="21" t="s">
        <v>361</v>
      </c>
      <c r="G146" s="21" t="s">
        <v>92</v>
      </c>
      <c r="H146" s="25">
        <v>2000</v>
      </c>
      <c r="I146" s="8" t="s">
        <v>93</v>
      </c>
      <c r="J146" s="20">
        <v>46182</v>
      </c>
      <c r="K146" s="26">
        <v>0.79719907407407409</v>
      </c>
      <c r="L146" s="21" t="s">
        <v>94</v>
      </c>
      <c r="M146" s="21">
        <v>63</v>
      </c>
      <c r="N146" s="8" t="s">
        <v>102</v>
      </c>
      <c r="O146" s="20">
        <v>46182</v>
      </c>
      <c r="P146" s="26">
        <v>0.90103009259259259</v>
      </c>
    </row>
    <row r="147" spans="3:16" x14ac:dyDescent="0.35">
      <c r="C147" s="21">
        <v>10031906058</v>
      </c>
      <c r="D147" s="21" t="s">
        <v>362</v>
      </c>
      <c r="E147" s="21">
        <v>2</v>
      </c>
      <c r="F147" s="21" t="s">
        <v>363</v>
      </c>
      <c r="G147" s="21" t="s">
        <v>364</v>
      </c>
      <c r="H147" s="21">
        <v>396</v>
      </c>
      <c r="I147" s="8" t="s">
        <v>93</v>
      </c>
      <c r="J147" s="20">
        <v>46182</v>
      </c>
      <c r="K147" s="26">
        <v>0.58010416666666664</v>
      </c>
      <c r="L147" s="21" t="s">
        <v>94</v>
      </c>
      <c r="M147" s="21">
        <v>30</v>
      </c>
      <c r="N147" s="8" t="s">
        <v>102</v>
      </c>
      <c r="O147" s="20">
        <v>46182</v>
      </c>
      <c r="P147" s="26">
        <v>0.89871527777777782</v>
      </c>
    </row>
    <row r="148" spans="3:16" x14ac:dyDescent="0.35">
      <c r="C148" s="21">
        <v>10031908655</v>
      </c>
      <c r="D148" s="21" t="s">
        <v>365</v>
      </c>
      <c r="E148" s="21">
        <v>5</v>
      </c>
      <c r="F148" s="21" t="s">
        <v>366</v>
      </c>
      <c r="G148" s="21" t="s">
        <v>248</v>
      </c>
      <c r="H148" s="21">
        <v>576</v>
      </c>
      <c r="I148" s="8" t="s">
        <v>93</v>
      </c>
      <c r="J148" s="20">
        <v>46182</v>
      </c>
      <c r="K148" s="26">
        <v>0.76163194444444449</v>
      </c>
      <c r="L148" s="21" t="s">
        <v>94</v>
      </c>
      <c r="M148" s="21">
        <v>27</v>
      </c>
      <c r="N148" s="8" t="s">
        <v>95</v>
      </c>
      <c r="O148" s="20">
        <v>46182</v>
      </c>
      <c r="P148" s="26">
        <v>0.89792824074074074</v>
      </c>
    </row>
    <row r="149" spans="3:16" x14ac:dyDescent="0.35">
      <c r="C149" s="21">
        <v>10031904321</v>
      </c>
      <c r="D149" s="21" t="s">
        <v>367</v>
      </c>
      <c r="E149" s="21">
        <v>1</v>
      </c>
      <c r="F149" s="21" t="s">
        <v>368</v>
      </c>
      <c r="G149" s="21" t="s">
        <v>240</v>
      </c>
      <c r="H149" s="25">
        <v>1260</v>
      </c>
      <c r="I149" s="8" t="s">
        <v>93</v>
      </c>
      <c r="J149" s="20">
        <v>46182</v>
      </c>
      <c r="K149" s="26">
        <v>0.48325231481481479</v>
      </c>
      <c r="L149" s="21" t="s">
        <v>94</v>
      </c>
      <c r="M149" s="21">
        <v>50</v>
      </c>
      <c r="N149" s="8" t="s">
        <v>95</v>
      </c>
      <c r="O149" s="20">
        <v>46182</v>
      </c>
      <c r="P149" s="26">
        <v>0.89788194444444447</v>
      </c>
    </row>
    <row r="150" spans="3:16" x14ac:dyDescent="0.35">
      <c r="C150" s="21">
        <v>10031905992</v>
      </c>
      <c r="D150" s="21" t="s">
        <v>369</v>
      </c>
      <c r="E150" s="21">
        <v>1</v>
      </c>
      <c r="F150" s="21" t="s">
        <v>370</v>
      </c>
      <c r="G150" s="21" t="s">
        <v>371</v>
      </c>
      <c r="H150" s="21">
        <v>620</v>
      </c>
      <c r="I150" s="8" t="s">
        <v>99</v>
      </c>
      <c r="J150" s="20">
        <v>46182</v>
      </c>
      <c r="K150" s="26">
        <v>0.57538194444444446</v>
      </c>
      <c r="L150" s="21" t="s">
        <v>94</v>
      </c>
      <c r="M150" s="21">
        <v>27</v>
      </c>
      <c r="N150" s="8" t="s">
        <v>95</v>
      </c>
      <c r="O150" s="20">
        <v>46182</v>
      </c>
      <c r="P150" s="26">
        <v>0.89788194444444447</v>
      </c>
    </row>
    <row r="151" spans="3:16" x14ac:dyDescent="0.35">
      <c r="C151" s="21">
        <v>10031907753</v>
      </c>
      <c r="D151" s="21" t="s">
        <v>372</v>
      </c>
      <c r="E151" s="21">
        <v>1</v>
      </c>
      <c r="F151" s="21" t="s">
        <v>373</v>
      </c>
      <c r="G151" s="21" t="s">
        <v>374</v>
      </c>
      <c r="H151" s="25">
        <v>8000</v>
      </c>
      <c r="I151" s="8" t="s">
        <v>93</v>
      </c>
      <c r="J151" s="20">
        <v>46182</v>
      </c>
      <c r="K151" s="26">
        <v>0.7111574074074074</v>
      </c>
      <c r="L151" s="21" t="s">
        <v>94</v>
      </c>
      <c r="M151" s="21">
        <v>22</v>
      </c>
      <c r="N151" s="8" t="s">
        <v>95</v>
      </c>
      <c r="O151" s="20">
        <v>46182</v>
      </c>
      <c r="P151" s="26">
        <v>0.895625</v>
      </c>
    </row>
    <row r="152" spans="3:16" x14ac:dyDescent="0.35">
      <c r="C152" s="21">
        <v>10031903710</v>
      </c>
      <c r="D152" s="21" t="s">
        <v>375</v>
      </c>
      <c r="E152" s="21">
        <v>4</v>
      </c>
      <c r="F152" s="21" t="s">
        <v>193</v>
      </c>
      <c r="G152" s="21" t="s">
        <v>98</v>
      </c>
      <c r="H152" s="21">
        <v>297</v>
      </c>
      <c r="I152" s="8" t="s">
        <v>99</v>
      </c>
      <c r="J152" s="20">
        <v>46182</v>
      </c>
      <c r="K152" s="26">
        <v>0.45256944444444447</v>
      </c>
      <c r="L152" s="21" t="s">
        <v>94</v>
      </c>
      <c r="M152" s="21">
        <v>50</v>
      </c>
      <c r="N152" s="8" t="s">
        <v>95</v>
      </c>
      <c r="O152" s="20">
        <v>46182</v>
      </c>
      <c r="P152" s="26">
        <v>0.89559027777777778</v>
      </c>
    </row>
    <row r="153" spans="3:16" x14ac:dyDescent="0.35">
      <c r="C153" s="21">
        <v>10031903583</v>
      </c>
      <c r="D153" s="21" t="s">
        <v>376</v>
      </c>
      <c r="E153" s="21">
        <v>2</v>
      </c>
      <c r="F153" s="21" t="s">
        <v>377</v>
      </c>
      <c r="G153" s="21" t="s">
        <v>248</v>
      </c>
      <c r="H153" s="25">
        <v>1800</v>
      </c>
      <c r="I153" s="8" t="s">
        <v>93</v>
      </c>
      <c r="J153" s="20">
        <v>46182</v>
      </c>
      <c r="K153" s="26">
        <v>0.45226851851851851</v>
      </c>
      <c r="L153" s="21" t="s">
        <v>94</v>
      </c>
      <c r="M153" s="21">
        <v>22</v>
      </c>
      <c r="N153" s="8" t="s">
        <v>95</v>
      </c>
      <c r="O153" s="20">
        <v>46182</v>
      </c>
      <c r="P153" s="26">
        <v>0.89557870370370374</v>
      </c>
    </row>
    <row r="154" spans="3:16" x14ac:dyDescent="0.35">
      <c r="C154" s="21">
        <v>10031906612</v>
      </c>
      <c r="D154" s="21" t="s">
        <v>375</v>
      </c>
      <c r="E154" s="21">
        <v>4</v>
      </c>
      <c r="F154" s="21" t="s">
        <v>193</v>
      </c>
      <c r="G154" s="21" t="s">
        <v>98</v>
      </c>
      <c r="H154" s="21">
        <v>99</v>
      </c>
      <c r="I154" s="8" t="s">
        <v>99</v>
      </c>
      <c r="J154" s="20">
        <v>46182</v>
      </c>
      <c r="K154" s="26">
        <v>0.64354166666666668</v>
      </c>
      <c r="L154" s="21" t="s">
        <v>94</v>
      </c>
      <c r="M154" s="21">
        <v>50</v>
      </c>
      <c r="N154" s="8" t="s">
        <v>102</v>
      </c>
      <c r="O154" s="20">
        <v>46182</v>
      </c>
      <c r="P154" s="26">
        <v>0.89410879629629625</v>
      </c>
    </row>
    <row r="155" spans="3:16" x14ac:dyDescent="0.35">
      <c r="C155" s="21">
        <v>10031905320</v>
      </c>
      <c r="D155" s="21" t="s">
        <v>378</v>
      </c>
      <c r="E155" s="21">
        <v>1</v>
      </c>
      <c r="F155" s="21" t="s">
        <v>379</v>
      </c>
      <c r="G155" s="21" t="s">
        <v>380</v>
      </c>
      <c r="H155" s="21">
        <v>129</v>
      </c>
      <c r="I155" s="8">
        <v>3010</v>
      </c>
      <c r="J155" s="20">
        <v>46182</v>
      </c>
      <c r="K155" s="26">
        <v>0.54136574074074073</v>
      </c>
      <c r="L155" s="21" t="s">
        <v>94</v>
      </c>
      <c r="M155" s="21">
        <v>20</v>
      </c>
      <c r="N155" s="8" t="s">
        <v>95</v>
      </c>
      <c r="O155" s="20">
        <v>46182</v>
      </c>
      <c r="P155" s="26">
        <v>0.89327546296296301</v>
      </c>
    </row>
    <row r="156" spans="3:16" x14ac:dyDescent="0.35">
      <c r="C156" s="21">
        <v>10031908481</v>
      </c>
      <c r="D156" s="21" t="s">
        <v>381</v>
      </c>
      <c r="E156" s="21">
        <v>1</v>
      </c>
      <c r="F156" s="21" t="s">
        <v>382</v>
      </c>
      <c r="G156" s="21" t="s">
        <v>383</v>
      </c>
      <c r="H156" s="21">
        <v>75</v>
      </c>
      <c r="I156" s="8">
        <v>3010</v>
      </c>
      <c r="J156" s="20">
        <v>46182</v>
      </c>
      <c r="K156" s="26">
        <v>0.74288194444444444</v>
      </c>
      <c r="L156" s="21" t="s">
        <v>94</v>
      </c>
      <c r="M156" s="21">
        <v>20</v>
      </c>
      <c r="N156" s="8" t="s">
        <v>95</v>
      </c>
      <c r="O156" s="20">
        <v>46182</v>
      </c>
      <c r="P156" s="26">
        <v>0.89104166666666662</v>
      </c>
    </row>
    <row r="157" spans="3:16" x14ac:dyDescent="0.35">
      <c r="C157" s="21">
        <v>10031908480</v>
      </c>
      <c r="D157" s="21" t="s">
        <v>384</v>
      </c>
      <c r="E157" s="21">
        <v>1</v>
      </c>
      <c r="F157" s="21" t="s">
        <v>385</v>
      </c>
      <c r="G157" s="21" t="s">
        <v>383</v>
      </c>
      <c r="H157" s="21">
        <v>24</v>
      </c>
      <c r="I157" s="8">
        <v>3010</v>
      </c>
      <c r="J157" s="20">
        <v>46182</v>
      </c>
      <c r="K157" s="26">
        <v>0.74288194444444444</v>
      </c>
      <c r="L157" s="21" t="s">
        <v>94</v>
      </c>
      <c r="M157" s="21">
        <v>20</v>
      </c>
      <c r="N157" s="8" t="s">
        <v>95</v>
      </c>
      <c r="O157" s="20">
        <v>46182</v>
      </c>
      <c r="P157" s="26">
        <v>0.89103009259259258</v>
      </c>
    </row>
    <row r="158" spans="3:16" x14ac:dyDescent="0.35">
      <c r="C158" s="21">
        <v>10031907604</v>
      </c>
      <c r="D158" s="21" t="s">
        <v>386</v>
      </c>
      <c r="E158" s="21">
        <v>2</v>
      </c>
      <c r="F158" s="21" t="s">
        <v>387</v>
      </c>
      <c r="G158" s="21" t="s">
        <v>380</v>
      </c>
      <c r="H158" s="21">
        <v>132</v>
      </c>
      <c r="I158" s="8">
        <v>3010</v>
      </c>
      <c r="J158" s="20">
        <v>46182</v>
      </c>
      <c r="K158" s="26">
        <v>0.71087962962962958</v>
      </c>
      <c r="L158" s="21" t="s">
        <v>94</v>
      </c>
      <c r="M158" s="21">
        <v>20</v>
      </c>
      <c r="N158" s="8" t="s">
        <v>95</v>
      </c>
      <c r="O158" s="20">
        <v>46182</v>
      </c>
      <c r="P158" s="26">
        <v>0.89101851851851854</v>
      </c>
    </row>
    <row r="159" spans="3:16" x14ac:dyDescent="0.35">
      <c r="C159" s="21">
        <v>10031906482</v>
      </c>
      <c r="D159" s="21" t="s">
        <v>388</v>
      </c>
      <c r="E159" s="21">
        <v>1</v>
      </c>
      <c r="F159" s="21" t="s">
        <v>389</v>
      </c>
      <c r="G159" s="21" t="s">
        <v>390</v>
      </c>
      <c r="H159" s="21">
        <v>36</v>
      </c>
      <c r="I159" s="8">
        <v>3010</v>
      </c>
      <c r="J159" s="20">
        <v>46182</v>
      </c>
      <c r="K159" s="26">
        <v>0.64324074074074078</v>
      </c>
      <c r="L159" s="21" t="s">
        <v>94</v>
      </c>
      <c r="M159" s="21">
        <v>40</v>
      </c>
      <c r="N159" s="8" t="s">
        <v>95</v>
      </c>
      <c r="O159" s="20">
        <v>46182</v>
      </c>
      <c r="P159" s="26">
        <v>0.89098379629629632</v>
      </c>
    </row>
    <row r="160" spans="3:16" x14ac:dyDescent="0.35">
      <c r="C160" s="21">
        <v>10031906483</v>
      </c>
      <c r="D160" s="21" t="s">
        <v>391</v>
      </c>
      <c r="E160" s="21">
        <v>1</v>
      </c>
      <c r="F160" s="21" t="s">
        <v>392</v>
      </c>
      <c r="G160" s="21" t="s">
        <v>390</v>
      </c>
      <c r="H160" s="21">
        <v>36</v>
      </c>
      <c r="I160" s="8">
        <v>3010</v>
      </c>
      <c r="J160" s="20">
        <v>46182</v>
      </c>
      <c r="K160" s="26">
        <v>0.64325231481481482</v>
      </c>
      <c r="L160" s="21" t="s">
        <v>94</v>
      </c>
      <c r="M160" s="21">
        <v>20</v>
      </c>
      <c r="N160" s="8" t="s">
        <v>95</v>
      </c>
      <c r="O160" s="20">
        <v>46182</v>
      </c>
      <c r="P160" s="26">
        <v>0.89098379629629632</v>
      </c>
    </row>
    <row r="161" spans="3:16" x14ac:dyDescent="0.35">
      <c r="C161" s="21">
        <v>10031906484</v>
      </c>
      <c r="D161" s="21" t="s">
        <v>393</v>
      </c>
      <c r="E161" s="21">
        <v>1</v>
      </c>
      <c r="F161" s="21" t="s">
        <v>394</v>
      </c>
      <c r="G161" s="21" t="s">
        <v>390</v>
      </c>
      <c r="H161" s="21">
        <v>36</v>
      </c>
      <c r="I161" s="8">
        <v>3010</v>
      </c>
      <c r="J161" s="20">
        <v>46182</v>
      </c>
      <c r="K161" s="26">
        <v>0.64325231481481482</v>
      </c>
      <c r="L161" s="21" t="s">
        <v>94</v>
      </c>
      <c r="M161" s="21">
        <v>20</v>
      </c>
      <c r="N161" s="8" t="s">
        <v>95</v>
      </c>
      <c r="O161" s="20">
        <v>46182</v>
      </c>
      <c r="P161" s="26">
        <v>0.89098379629629632</v>
      </c>
    </row>
    <row r="162" spans="3:16" x14ac:dyDescent="0.35">
      <c r="C162" s="21">
        <v>10031907532</v>
      </c>
      <c r="D162" s="21" t="s">
        <v>395</v>
      </c>
      <c r="E162" s="21">
        <v>6</v>
      </c>
      <c r="F162" s="21" t="s">
        <v>396</v>
      </c>
      <c r="G162" s="21" t="s">
        <v>133</v>
      </c>
      <c r="H162" s="21">
        <v>800</v>
      </c>
      <c r="I162" s="8" t="s">
        <v>134</v>
      </c>
      <c r="J162" s="20">
        <v>46182</v>
      </c>
      <c r="K162" s="26">
        <v>0.69068287037037035</v>
      </c>
      <c r="L162" s="21" t="s">
        <v>94</v>
      </c>
      <c r="M162" s="21">
        <v>100</v>
      </c>
      <c r="N162" s="8" t="s">
        <v>95</v>
      </c>
      <c r="O162" s="20">
        <v>46182</v>
      </c>
      <c r="P162" s="26">
        <v>0.88869212962962962</v>
      </c>
    </row>
    <row r="163" spans="3:16" x14ac:dyDescent="0.35">
      <c r="C163" s="21">
        <v>10031907538</v>
      </c>
      <c r="D163" s="21" t="s">
        <v>397</v>
      </c>
      <c r="E163" s="21">
        <v>5</v>
      </c>
      <c r="F163" s="21" t="s">
        <v>398</v>
      </c>
      <c r="G163" s="21" t="s">
        <v>133</v>
      </c>
      <c r="H163" s="21">
        <v>80</v>
      </c>
      <c r="I163" s="8" t="s">
        <v>134</v>
      </c>
      <c r="J163" s="20">
        <v>46182</v>
      </c>
      <c r="K163" s="26">
        <v>0.69068287037037035</v>
      </c>
      <c r="L163" s="21" t="s">
        <v>94</v>
      </c>
      <c r="M163" s="21">
        <v>100</v>
      </c>
      <c r="N163" s="8" t="s">
        <v>95</v>
      </c>
      <c r="O163" s="20">
        <v>46182</v>
      </c>
      <c r="P163" s="26">
        <v>0.88869212962962962</v>
      </c>
    </row>
    <row r="164" spans="3:16" x14ac:dyDescent="0.35">
      <c r="C164" s="21">
        <v>10031908988</v>
      </c>
      <c r="D164" s="21" t="s">
        <v>399</v>
      </c>
      <c r="E164" s="21">
        <v>53</v>
      </c>
      <c r="F164" s="21" t="s">
        <v>400</v>
      </c>
      <c r="G164" s="21" t="s">
        <v>98</v>
      </c>
      <c r="H164" s="21">
        <v>180</v>
      </c>
      <c r="I164" s="8" t="s">
        <v>99</v>
      </c>
      <c r="J164" s="20">
        <v>46182</v>
      </c>
      <c r="K164" s="26">
        <v>0.78355324074074073</v>
      </c>
      <c r="L164" s="21" t="s">
        <v>94</v>
      </c>
      <c r="M164" s="21">
        <v>77</v>
      </c>
      <c r="N164" s="8" t="s">
        <v>401</v>
      </c>
      <c r="O164" s="20">
        <v>46182</v>
      </c>
      <c r="P164" s="26">
        <v>0.88589120370370367</v>
      </c>
    </row>
    <row r="165" spans="3:16" x14ac:dyDescent="0.35">
      <c r="C165" s="21">
        <v>10031907929</v>
      </c>
      <c r="D165" s="21" t="s">
        <v>402</v>
      </c>
      <c r="E165" s="21">
        <v>10</v>
      </c>
      <c r="F165" s="21" t="s">
        <v>403</v>
      </c>
      <c r="G165" s="21" t="s">
        <v>98</v>
      </c>
      <c r="H165" s="21">
        <v>144</v>
      </c>
      <c r="I165" s="8" t="s">
        <v>99</v>
      </c>
      <c r="J165" s="20">
        <v>46182</v>
      </c>
      <c r="K165" s="26">
        <v>0.71157407407407403</v>
      </c>
      <c r="L165" s="21" t="s">
        <v>94</v>
      </c>
      <c r="M165" s="21">
        <v>30</v>
      </c>
      <c r="N165" s="8" t="s">
        <v>102</v>
      </c>
      <c r="O165" s="20">
        <v>46182</v>
      </c>
      <c r="P165" s="26">
        <v>0.87806712962962963</v>
      </c>
    </row>
    <row r="166" spans="3:16" x14ac:dyDescent="0.35">
      <c r="C166" s="21">
        <v>10031906547</v>
      </c>
      <c r="D166" s="21" t="s">
        <v>402</v>
      </c>
      <c r="E166" s="21">
        <v>10</v>
      </c>
      <c r="F166" s="21" t="s">
        <v>403</v>
      </c>
      <c r="G166" s="21" t="s">
        <v>98</v>
      </c>
      <c r="H166" s="21">
        <v>240</v>
      </c>
      <c r="I166" s="8" t="s">
        <v>99</v>
      </c>
      <c r="J166" s="20">
        <v>46182</v>
      </c>
      <c r="K166" s="26">
        <v>0.64339120370370373</v>
      </c>
      <c r="L166" s="21" t="s">
        <v>94</v>
      </c>
      <c r="M166" s="21">
        <v>30</v>
      </c>
      <c r="N166" s="8" t="s">
        <v>102</v>
      </c>
      <c r="O166" s="20">
        <v>46182</v>
      </c>
      <c r="P166" s="26">
        <v>0.87805555555555559</v>
      </c>
    </row>
    <row r="167" spans="3:16" x14ac:dyDescent="0.35">
      <c r="C167" s="21">
        <v>10031906546</v>
      </c>
      <c r="D167" s="21" t="s">
        <v>402</v>
      </c>
      <c r="E167" s="21">
        <v>10</v>
      </c>
      <c r="F167" s="21" t="s">
        <v>403</v>
      </c>
      <c r="G167" s="21" t="s">
        <v>98</v>
      </c>
      <c r="H167" s="21">
        <v>240</v>
      </c>
      <c r="I167" s="8" t="s">
        <v>99</v>
      </c>
      <c r="J167" s="20">
        <v>46182</v>
      </c>
      <c r="K167" s="26">
        <v>0.64339120370370373</v>
      </c>
      <c r="L167" s="21" t="s">
        <v>94</v>
      </c>
      <c r="M167" s="21">
        <v>30</v>
      </c>
      <c r="N167" s="8" t="s">
        <v>95</v>
      </c>
      <c r="O167" s="20">
        <v>46182</v>
      </c>
      <c r="P167" s="26">
        <v>0.87722222222222224</v>
      </c>
    </row>
    <row r="168" spans="3:16" x14ac:dyDescent="0.35">
      <c r="C168" s="21">
        <v>10031909062</v>
      </c>
      <c r="D168" s="21" t="s">
        <v>404</v>
      </c>
      <c r="E168" s="21">
        <v>2</v>
      </c>
      <c r="F168" s="21" t="s">
        <v>405</v>
      </c>
      <c r="G168" s="21" t="s">
        <v>406</v>
      </c>
      <c r="H168" s="21">
        <v>27</v>
      </c>
      <c r="I168" s="8" t="s">
        <v>99</v>
      </c>
      <c r="J168" s="20">
        <v>46182</v>
      </c>
      <c r="K168" s="26">
        <v>0.78379629629629632</v>
      </c>
      <c r="L168" s="21" t="s">
        <v>94</v>
      </c>
      <c r="M168" s="21">
        <v>50</v>
      </c>
      <c r="N168" s="8" t="s">
        <v>245</v>
      </c>
      <c r="O168" s="20">
        <v>46182</v>
      </c>
      <c r="P168" s="26">
        <v>0.87611111111111106</v>
      </c>
    </row>
    <row r="169" spans="3:16" x14ac:dyDescent="0.35">
      <c r="C169" s="21">
        <v>10031905298</v>
      </c>
      <c r="D169" s="21" t="s">
        <v>407</v>
      </c>
      <c r="E169" s="21">
        <v>5</v>
      </c>
      <c r="F169" s="21" t="s">
        <v>408</v>
      </c>
      <c r="G169" s="21" t="s">
        <v>409</v>
      </c>
      <c r="H169" s="21">
        <v>80</v>
      </c>
      <c r="I169" s="8">
        <v>3005</v>
      </c>
      <c r="J169" s="20">
        <v>46182</v>
      </c>
      <c r="K169" s="26">
        <v>0.53123842592592596</v>
      </c>
      <c r="L169" s="21" t="s">
        <v>94</v>
      </c>
      <c r="M169" s="21">
        <v>43</v>
      </c>
      <c r="N169" s="8" t="s">
        <v>401</v>
      </c>
      <c r="O169" s="20">
        <v>46182</v>
      </c>
      <c r="P169" s="26">
        <v>0.87604166666666672</v>
      </c>
    </row>
    <row r="170" spans="3:16" x14ac:dyDescent="0.35">
      <c r="C170" s="21">
        <v>10031909537</v>
      </c>
      <c r="D170" s="21" t="s">
        <v>410</v>
      </c>
      <c r="E170" s="21">
        <v>1</v>
      </c>
      <c r="F170" s="21" t="s">
        <v>197</v>
      </c>
      <c r="G170" s="21" t="s">
        <v>98</v>
      </c>
      <c r="H170" s="21">
        <v>648</v>
      </c>
      <c r="I170" s="8" t="s">
        <v>99</v>
      </c>
      <c r="J170" s="20">
        <v>46182</v>
      </c>
      <c r="K170" s="26">
        <v>0.80210648148148145</v>
      </c>
      <c r="L170" s="21" t="s">
        <v>94</v>
      </c>
      <c r="M170" s="21">
        <v>50</v>
      </c>
      <c r="N170" s="8" t="s">
        <v>102</v>
      </c>
      <c r="O170" s="20">
        <v>46182</v>
      </c>
      <c r="P170" s="26">
        <v>0.8757638888888889</v>
      </c>
    </row>
    <row r="171" spans="3:16" x14ac:dyDescent="0.35">
      <c r="C171" s="21">
        <v>10031909508</v>
      </c>
      <c r="D171" s="21" t="s">
        <v>411</v>
      </c>
      <c r="E171" s="21">
        <v>2</v>
      </c>
      <c r="F171" s="21" t="s">
        <v>412</v>
      </c>
      <c r="G171" s="21" t="s">
        <v>116</v>
      </c>
      <c r="H171" s="25">
        <v>2400</v>
      </c>
      <c r="I171" s="8" t="s">
        <v>93</v>
      </c>
      <c r="J171" s="20">
        <v>46182</v>
      </c>
      <c r="K171" s="26">
        <v>0.79797453703703702</v>
      </c>
      <c r="L171" s="21" t="s">
        <v>94</v>
      </c>
      <c r="M171" s="21">
        <v>100</v>
      </c>
      <c r="N171" s="8" t="s">
        <v>102</v>
      </c>
      <c r="O171" s="20">
        <v>46182</v>
      </c>
      <c r="P171" s="26">
        <v>0.87575231481481486</v>
      </c>
    </row>
    <row r="172" spans="3:16" x14ac:dyDescent="0.35">
      <c r="C172" s="21">
        <v>10031909513</v>
      </c>
      <c r="D172" s="21" t="s">
        <v>413</v>
      </c>
      <c r="E172" s="21">
        <v>4</v>
      </c>
      <c r="F172" s="21" t="s">
        <v>414</v>
      </c>
      <c r="G172" s="21" t="s">
        <v>116</v>
      </c>
      <c r="H172" s="21">
        <v>600</v>
      </c>
      <c r="I172" s="8" t="s">
        <v>93</v>
      </c>
      <c r="J172" s="20">
        <v>46182</v>
      </c>
      <c r="K172" s="26">
        <v>0.79800925925925925</v>
      </c>
      <c r="L172" s="21" t="s">
        <v>94</v>
      </c>
      <c r="M172" s="21">
        <v>100</v>
      </c>
      <c r="N172" s="8" t="s">
        <v>102</v>
      </c>
      <c r="O172" s="20">
        <v>46182</v>
      </c>
      <c r="P172" s="26">
        <v>0.87575231481481486</v>
      </c>
    </row>
    <row r="173" spans="3:16" x14ac:dyDescent="0.35">
      <c r="C173" s="21">
        <v>10031909008</v>
      </c>
      <c r="D173" s="21" t="s">
        <v>415</v>
      </c>
      <c r="E173" s="21">
        <v>1</v>
      </c>
      <c r="F173" s="21" t="s">
        <v>416</v>
      </c>
      <c r="G173" s="21" t="s">
        <v>417</v>
      </c>
      <c r="H173" s="21">
        <v>570</v>
      </c>
      <c r="I173" s="8" t="s">
        <v>99</v>
      </c>
      <c r="J173" s="20">
        <v>46182</v>
      </c>
      <c r="K173" s="26">
        <v>0.78365740740740741</v>
      </c>
      <c r="L173" s="21" t="s">
        <v>94</v>
      </c>
      <c r="M173" s="21">
        <v>50</v>
      </c>
      <c r="N173" s="8" t="s">
        <v>102</v>
      </c>
      <c r="O173" s="20">
        <v>46182</v>
      </c>
      <c r="P173" s="26">
        <v>0.87574074074074071</v>
      </c>
    </row>
    <row r="174" spans="3:16" x14ac:dyDescent="0.35">
      <c r="C174" s="21">
        <v>10031909061</v>
      </c>
      <c r="D174" s="21" t="s">
        <v>418</v>
      </c>
      <c r="E174" s="21">
        <v>6</v>
      </c>
      <c r="F174" s="21" t="s">
        <v>419</v>
      </c>
      <c r="G174" s="21" t="s">
        <v>420</v>
      </c>
      <c r="H174" s="21">
        <v>600</v>
      </c>
      <c r="I174" s="8" t="s">
        <v>99</v>
      </c>
      <c r="J174" s="20">
        <v>46182</v>
      </c>
      <c r="K174" s="26">
        <v>0.78379629629629632</v>
      </c>
      <c r="L174" s="21" t="s">
        <v>94</v>
      </c>
      <c r="M174" s="21">
        <v>50</v>
      </c>
      <c r="N174" s="8" t="s">
        <v>102</v>
      </c>
      <c r="O174" s="20">
        <v>46182</v>
      </c>
      <c r="P174" s="26">
        <v>0.87574074074074071</v>
      </c>
    </row>
    <row r="175" spans="3:16" x14ac:dyDescent="0.35">
      <c r="C175" s="21">
        <v>10031908976</v>
      </c>
      <c r="D175" s="21" t="s">
        <v>421</v>
      </c>
      <c r="E175" s="21">
        <v>1</v>
      </c>
      <c r="F175" s="21" t="s">
        <v>265</v>
      </c>
      <c r="G175" s="21" t="s">
        <v>107</v>
      </c>
      <c r="H175" s="25">
        <v>1280</v>
      </c>
      <c r="I175" s="8" t="s">
        <v>99</v>
      </c>
      <c r="J175" s="20">
        <v>46182</v>
      </c>
      <c r="K175" s="26">
        <v>0.7835185185185185</v>
      </c>
      <c r="L175" s="21" t="s">
        <v>94</v>
      </c>
      <c r="M175" s="21">
        <v>50</v>
      </c>
      <c r="N175" s="8" t="s">
        <v>102</v>
      </c>
      <c r="O175" s="20">
        <v>46182</v>
      </c>
      <c r="P175" s="26">
        <v>0.87571759259259263</v>
      </c>
    </row>
    <row r="176" spans="3:16" x14ac:dyDescent="0.35">
      <c r="C176" s="21">
        <v>10031908999</v>
      </c>
      <c r="D176" s="21" t="s">
        <v>422</v>
      </c>
      <c r="E176" s="21">
        <v>41</v>
      </c>
      <c r="F176" s="21" t="s">
        <v>423</v>
      </c>
      <c r="G176" s="21" t="s">
        <v>107</v>
      </c>
      <c r="H176" s="21">
        <v>132</v>
      </c>
      <c r="I176" s="8" t="s">
        <v>99</v>
      </c>
      <c r="J176" s="20">
        <v>46182</v>
      </c>
      <c r="K176" s="26">
        <v>0.78361111111111115</v>
      </c>
      <c r="L176" s="21" t="s">
        <v>94</v>
      </c>
      <c r="M176" s="21">
        <v>30</v>
      </c>
      <c r="N176" s="8" t="s">
        <v>102</v>
      </c>
      <c r="O176" s="20">
        <v>46182</v>
      </c>
      <c r="P176" s="26">
        <v>0.87571759259259263</v>
      </c>
    </row>
    <row r="177" spans="2:16" x14ac:dyDescent="0.35">
      <c r="C177" s="21">
        <v>10031908358</v>
      </c>
      <c r="D177" s="21" t="s">
        <v>424</v>
      </c>
      <c r="E177" s="21">
        <v>1</v>
      </c>
      <c r="F177" s="21" t="s">
        <v>425</v>
      </c>
      <c r="G177" s="21" t="s">
        <v>426</v>
      </c>
      <c r="H177" s="21">
        <v>260</v>
      </c>
      <c r="I177" s="8">
        <v>3005</v>
      </c>
      <c r="J177" s="20">
        <v>46182</v>
      </c>
      <c r="K177" s="26">
        <v>0.72388888888888892</v>
      </c>
      <c r="L177" s="21" t="s">
        <v>94</v>
      </c>
      <c r="M177" s="21">
        <v>63</v>
      </c>
      <c r="N177" s="8" t="s">
        <v>401</v>
      </c>
      <c r="O177" s="20">
        <v>46182</v>
      </c>
      <c r="P177" s="26">
        <v>0.87515046296296295</v>
      </c>
    </row>
    <row r="179" spans="2:16" x14ac:dyDescent="0.35">
      <c r="B179" t="s">
        <v>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</vt:lpstr>
      <vt:lpstr>vi-du-pivot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Đức Huy(Le Duc Huy)</dc:creator>
  <cp:lastModifiedBy>Lê Đức Huy(Le Duc Huy)</cp:lastModifiedBy>
  <dcterms:created xsi:type="dcterms:W3CDTF">2015-06-05T18:17:20Z</dcterms:created>
  <dcterms:modified xsi:type="dcterms:W3CDTF">2026-06-10T01:42:11Z</dcterms:modified>
</cp:coreProperties>
</file>