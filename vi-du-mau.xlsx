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\\fstvn01\data\10_Parts Quality Control(部品QC部)\08.ISO\03_Macro_IQC\01_Macro\09_ppt\huong-dan-ve-bieu-do\"/>
    </mc:Choice>
  </mc:AlternateContent>
  <xr:revisionPtr revIDLastSave="0" documentId="13_ncr:1_{429F3643-BE62-47F5-9070-B45E1D378C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ieu-do-duong" sheetId="2" r:id="rId1"/>
    <sheet name="bieu-do-cot" sheetId="1" r:id="rId2"/>
    <sheet name="bieu-do-tron" sheetId="3" r:id="rId3"/>
    <sheet name="bieu-do-parento" sheetId="4" state="hidden" r:id="rId4"/>
    <sheet name="bieu-do-ket-ho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C13" i="4"/>
  <c r="D5" i="4" l="1"/>
  <c r="D6" i="4" s="1"/>
  <c r="D7" i="4" s="1"/>
  <c r="D8" i="4" s="1"/>
  <c r="D9" i="4" s="1"/>
  <c r="D10" i="4" s="1"/>
  <c r="D11" i="4" s="1"/>
  <c r="D12" i="4" s="1"/>
</calcChain>
</file>

<file path=xl/sharedStrings.xml><?xml version="1.0" encoding="utf-8"?>
<sst xmlns="http://schemas.openxmlformats.org/spreadsheetml/2006/main" count="81" uniqueCount="79">
  <si>
    <t>Nhà A</t>
  </si>
  <si>
    <t>Nhà B</t>
  </si>
  <si>
    <t>Nhà C</t>
  </si>
  <si>
    <t>6H ~ 10H</t>
  </si>
  <si>
    <t>10H ~ 13H</t>
  </si>
  <si>
    <t>13H ~ 15H</t>
  </si>
  <si>
    <t>15H ~ 17H</t>
  </si>
  <si>
    <t>Ngày tháng</t>
  </si>
  <si>
    <t>Tổng H nghỉ</t>
  </si>
  <si>
    <t>Mục tiêu( H)</t>
  </si>
  <si>
    <t>01/06</t>
  </si>
  <si>
    <t>02/06</t>
  </si>
  <si>
    <t>05/06</t>
  </si>
  <si>
    <t>06/06</t>
  </si>
  <si>
    <t>07/06</t>
  </si>
  <si>
    <t>08/06</t>
  </si>
  <si>
    <t>09/06</t>
  </si>
  <si>
    <t>10/06</t>
  </si>
  <si>
    <t>12/06</t>
  </si>
  <si>
    <t>13/06</t>
  </si>
  <si>
    <t>14/06</t>
  </si>
  <si>
    <t>15/06</t>
  </si>
  <si>
    <t>16/06</t>
  </si>
  <si>
    <t>19/06</t>
  </si>
  <si>
    <t>20/06</t>
  </si>
  <si>
    <t>21/06</t>
  </si>
  <si>
    <t>22/06</t>
  </si>
  <si>
    <t>23/06</t>
  </si>
  <si>
    <t>26/06</t>
  </si>
  <si>
    <t>27/06</t>
  </si>
  <si>
    <t>28/06</t>
  </si>
  <si>
    <t>29/06</t>
  </si>
  <si>
    <t>30/06</t>
  </si>
  <si>
    <t>Tỉ lệ lỗi BTCD tuần 4 tháng 6/2023</t>
  </si>
  <si>
    <t>Loại lỗi</t>
  </si>
  <si>
    <t>Số lỗi</t>
  </si>
  <si>
    <t>NG kích thước</t>
  </si>
  <si>
    <t>NG Ngoại quan</t>
  </si>
  <si>
    <t>Vấn đề</t>
  </si>
  <si>
    <t>Hạng mục</t>
  </si>
  <si>
    <t>Vấn đề 1</t>
  </si>
  <si>
    <t>Thời gian kiểm tra LK Assy nhiều</t>
  </si>
  <si>
    <t>Vấn đề 2</t>
  </si>
  <si>
    <t>Mất nhiều thời gian xử lý kết quả đo</t>
  </si>
  <si>
    <t>Vấn đề 3</t>
  </si>
  <si>
    <t>Nhiều thời gian kiểm tra thông mạch YC linh kiện điện</t>
  </si>
  <si>
    <t>Vấn đề 4</t>
  </si>
  <si>
    <t>Mất nhiều thời gian khớp linh kiện to, nhiều chi tiết</t>
  </si>
  <si>
    <t>Vấn đề 5</t>
  </si>
  <si>
    <t>Nhiều thời gian gá đặt, tìm vị trí đo linh kiện khó, phức tạp</t>
  </si>
  <si>
    <t>Vấn đề 6</t>
  </si>
  <si>
    <t>Nhiều thời gian xử lý linh kiện NCC S,A</t>
  </si>
  <si>
    <t>Vấn đề 7</t>
  </si>
  <si>
    <t>Chưa đa năng hóa nghiệp vụ kiểm tra</t>
  </si>
  <si>
    <t>Vấn đề 8</t>
  </si>
  <si>
    <t>Thiếu jig, dụng cụ đo</t>
  </si>
  <si>
    <t>Vấn đề 9</t>
  </si>
  <si>
    <t>Vị trí layout chưa phù hợp</t>
  </si>
  <si>
    <t>Vấn đề 10</t>
  </si>
  <si>
    <t>Người mới</t>
  </si>
  <si>
    <t>% lũy tiến</t>
  </si>
  <si>
    <t>Thời gian (h)</t>
  </si>
  <si>
    <t>16/5</t>
  </si>
  <si>
    <t>17/5</t>
  </si>
  <si>
    <t>18/5</t>
  </si>
  <si>
    <t>19/5</t>
  </si>
  <si>
    <t>20/5</t>
  </si>
  <si>
    <t>23/5</t>
  </si>
  <si>
    <t>24/5</t>
  </si>
  <si>
    <t>25/5</t>
  </si>
  <si>
    <t>26/5</t>
  </si>
  <si>
    <t>27/5</t>
  </si>
  <si>
    <t>30/5</t>
  </si>
  <si>
    <t>31/5</t>
  </si>
  <si>
    <t>03/06</t>
  </si>
  <si>
    <t>Kế hoạch nhập hàng</t>
  </si>
  <si>
    <t>Linh kiện đã về</t>
  </si>
  <si>
    <t>Linh kiện đã kiểm tra</t>
  </si>
  <si>
    <t>Linh kiện chưa kiểm 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</si>
</sst>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 Narrow"/>
      <family val="2"/>
    </font>
    <font>
      <b/>
      <sz val="11"/>
      <name val="Calibri"/>
      <family val="2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left" vertical="center" wrapText="1" readingOrder="1"/>
    </xf>
    <xf numFmtId="0" fontId="7" fillId="3" borderId="1" xfId="0" applyFont="1" applyFill="1" applyBorder="1" applyAlignment="1">
      <alignment horizontal="center" vertical="center" wrapText="1" readingOrder="1"/>
    </xf>
    <xf numFmtId="0" fontId="8" fillId="2" borderId="4" xfId="0" applyFont="1" applyFill="1" applyBorder="1" applyAlignment="1">
      <alignment horizontal="center" vertical="center" wrapText="1" readingOrder="1"/>
    </xf>
    <xf numFmtId="9" fontId="0" fillId="0" borderId="1" xfId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9" fillId="0" borderId="1" xfId="0" applyFont="1" applyBorder="1"/>
    <xf numFmtId="16" fontId="10" fillId="4" borderId="1" xfId="0" quotePrefix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11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63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BIỂU ĐỒ THEO DÕI NGÀY NGHỈ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'bieu-do-duong'!$B$1</c:f>
              <c:strCache>
                <c:ptCount val="1"/>
                <c:pt idx="0">
                  <c:v>Tổng H nghỉ</c:v>
                </c:pt>
              </c:strCache>
            </c:strRef>
          </c:tx>
          <c:spPr>
            <a:ln w="2222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3"/>
              <c:layout>
                <c:manualLayout>
                  <c:x val="-8.3703750682065738E-4"/>
                  <c:y val="4.8236033329254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497-4679-AFF9-24A81116CB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'bieu-do-duong'!$A$2:$A$25</c:f>
              <c:strCache>
                <c:ptCount val="24"/>
                <c:pt idx="1">
                  <c:v>01/06</c:v>
                </c:pt>
                <c:pt idx="2">
                  <c:v>02/06</c:v>
                </c:pt>
                <c:pt idx="3">
                  <c:v>05/06</c:v>
                </c:pt>
                <c:pt idx="4">
                  <c:v>06/06</c:v>
                </c:pt>
                <c:pt idx="5">
                  <c:v>07/06</c:v>
                </c:pt>
                <c:pt idx="6">
                  <c:v>08/06</c:v>
                </c:pt>
                <c:pt idx="7">
                  <c:v>09/06</c:v>
                </c:pt>
                <c:pt idx="8">
                  <c:v>10/06</c:v>
                </c:pt>
                <c:pt idx="9">
                  <c:v>12/06</c:v>
                </c:pt>
                <c:pt idx="10">
                  <c:v>13/06</c:v>
                </c:pt>
                <c:pt idx="11">
                  <c:v>14/06</c:v>
                </c:pt>
                <c:pt idx="12">
                  <c:v>15/06</c:v>
                </c:pt>
                <c:pt idx="13">
                  <c:v>16/06</c:v>
                </c:pt>
                <c:pt idx="14">
                  <c:v>19/06</c:v>
                </c:pt>
                <c:pt idx="15">
                  <c:v>20/06</c:v>
                </c:pt>
                <c:pt idx="16">
                  <c:v>21/06</c:v>
                </c:pt>
                <c:pt idx="17">
                  <c:v>22/06</c:v>
                </c:pt>
                <c:pt idx="18">
                  <c:v>23/06</c:v>
                </c:pt>
                <c:pt idx="19">
                  <c:v>26/06</c:v>
                </c:pt>
                <c:pt idx="20">
                  <c:v>27/06</c:v>
                </c:pt>
                <c:pt idx="21">
                  <c:v>28/06</c:v>
                </c:pt>
                <c:pt idx="22">
                  <c:v>29/06</c:v>
                </c:pt>
                <c:pt idx="23">
                  <c:v>30/06</c:v>
                </c:pt>
              </c:strCache>
            </c:strRef>
          </c:cat>
          <c:val>
            <c:numRef>
              <c:f>'bieu-do-duong'!$B$2:$B$25</c:f>
              <c:numCache>
                <c:formatCode>General</c:formatCode>
                <c:ptCount val="24"/>
                <c:pt idx="1">
                  <c:v>80.75</c:v>
                </c:pt>
                <c:pt idx="2" formatCode="0.00">
                  <c:v>157.25</c:v>
                </c:pt>
                <c:pt idx="3" formatCode="0.00">
                  <c:v>220.75</c:v>
                </c:pt>
                <c:pt idx="4" formatCode="0.00">
                  <c:v>284.5</c:v>
                </c:pt>
                <c:pt idx="5" formatCode="0.00">
                  <c:v>352</c:v>
                </c:pt>
                <c:pt idx="6" formatCode="0.00">
                  <c:v>421</c:v>
                </c:pt>
                <c:pt idx="7" formatCode="0.00">
                  <c:v>494</c:v>
                </c:pt>
                <c:pt idx="8" formatCode="0.00">
                  <c:v>502</c:v>
                </c:pt>
                <c:pt idx="9" formatCode="0.00">
                  <c:v>580</c:v>
                </c:pt>
                <c:pt idx="10" formatCode="0.00">
                  <c:v>649</c:v>
                </c:pt>
                <c:pt idx="11" formatCode="0.00">
                  <c:v>708.5</c:v>
                </c:pt>
                <c:pt idx="12" formatCode="0.00">
                  <c:v>793.5</c:v>
                </c:pt>
                <c:pt idx="13" formatCode="0.00">
                  <c:v>912.5</c:v>
                </c:pt>
                <c:pt idx="14" formatCode="0.00">
                  <c:v>950.75</c:v>
                </c:pt>
                <c:pt idx="15" formatCode="0.00">
                  <c:v>989</c:v>
                </c:pt>
                <c:pt idx="16" formatCode="0.00">
                  <c:v>1021.75</c:v>
                </c:pt>
                <c:pt idx="17" formatCode="0.00">
                  <c:v>1046</c:v>
                </c:pt>
                <c:pt idx="18" formatCode="0.00">
                  <c:v>1101</c:v>
                </c:pt>
                <c:pt idx="19" formatCode="0.00">
                  <c:v>1198.75</c:v>
                </c:pt>
                <c:pt idx="20" formatCode="0.00">
                  <c:v>1270.75</c:v>
                </c:pt>
                <c:pt idx="21" formatCode="0.00">
                  <c:v>1331.25</c:v>
                </c:pt>
                <c:pt idx="22" formatCode="0.00">
                  <c:v>1412</c:v>
                </c:pt>
                <c:pt idx="23" formatCode="0.00">
                  <c:v>1510.75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97-4679-AFF9-24A81116CBEA}"/>
            </c:ext>
          </c:extLst>
        </c:ser>
        <c:ser>
          <c:idx val="1"/>
          <c:order val="1"/>
          <c:tx>
            <c:strRef>
              <c:f>'bieu-do-duong'!$C$1</c:f>
              <c:strCache>
                <c:ptCount val="1"/>
                <c:pt idx="0">
                  <c:v>Mục tiêu( H)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3"/>
              <c:layout>
                <c:manualLayout>
                  <c:x val="-2.4067312545538025E-2"/>
                  <c:y val="-2.066198543559141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97-4679-AFF9-24A81116CB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'bieu-do-duong'!$A$2:$A$25</c:f>
              <c:strCache>
                <c:ptCount val="24"/>
                <c:pt idx="1">
                  <c:v>01/06</c:v>
                </c:pt>
                <c:pt idx="2">
                  <c:v>02/06</c:v>
                </c:pt>
                <c:pt idx="3">
                  <c:v>05/06</c:v>
                </c:pt>
                <c:pt idx="4">
                  <c:v>06/06</c:v>
                </c:pt>
                <c:pt idx="5">
                  <c:v>07/06</c:v>
                </c:pt>
                <c:pt idx="6">
                  <c:v>08/06</c:v>
                </c:pt>
                <c:pt idx="7">
                  <c:v>09/06</c:v>
                </c:pt>
                <c:pt idx="8">
                  <c:v>10/06</c:v>
                </c:pt>
                <c:pt idx="9">
                  <c:v>12/06</c:v>
                </c:pt>
                <c:pt idx="10">
                  <c:v>13/06</c:v>
                </c:pt>
                <c:pt idx="11">
                  <c:v>14/06</c:v>
                </c:pt>
                <c:pt idx="12">
                  <c:v>15/06</c:v>
                </c:pt>
                <c:pt idx="13">
                  <c:v>16/06</c:v>
                </c:pt>
                <c:pt idx="14">
                  <c:v>19/06</c:v>
                </c:pt>
                <c:pt idx="15">
                  <c:v>20/06</c:v>
                </c:pt>
                <c:pt idx="16">
                  <c:v>21/06</c:v>
                </c:pt>
                <c:pt idx="17">
                  <c:v>22/06</c:v>
                </c:pt>
                <c:pt idx="18">
                  <c:v>23/06</c:v>
                </c:pt>
                <c:pt idx="19">
                  <c:v>26/06</c:v>
                </c:pt>
                <c:pt idx="20">
                  <c:v>27/06</c:v>
                </c:pt>
                <c:pt idx="21">
                  <c:v>28/06</c:v>
                </c:pt>
                <c:pt idx="22">
                  <c:v>29/06</c:v>
                </c:pt>
                <c:pt idx="23">
                  <c:v>30/06</c:v>
                </c:pt>
              </c:strCache>
            </c:strRef>
          </c:cat>
          <c:val>
            <c:numRef>
              <c:f>'bieu-do-duong'!$C$2:$C$25</c:f>
              <c:numCache>
                <c:formatCode>General</c:formatCode>
                <c:ptCount val="24"/>
                <c:pt idx="1">
                  <c:v>1570</c:v>
                </c:pt>
                <c:pt idx="2">
                  <c:v>1570</c:v>
                </c:pt>
                <c:pt idx="3">
                  <c:v>1570</c:v>
                </c:pt>
                <c:pt idx="4">
                  <c:v>1570</c:v>
                </c:pt>
                <c:pt idx="5">
                  <c:v>1570</c:v>
                </c:pt>
                <c:pt idx="6">
                  <c:v>1570</c:v>
                </c:pt>
                <c:pt idx="7">
                  <c:v>1570</c:v>
                </c:pt>
                <c:pt idx="8">
                  <c:v>1570</c:v>
                </c:pt>
                <c:pt idx="9">
                  <c:v>1570</c:v>
                </c:pt>
                <c:pt idx="10">
                  <c:v>1570</c:v>
                </c:pt>
                <c:pt idx="11">
                  <c:v>1570</c:v>
                </c:pt>
                <c:pt idx="12">
                  <c:v>1570</c:v>
                </c:pt>
                <c:pt idx="13">
                  <c:v>1570</c:v>
                </c:pt>
                <c:pt idx="14">
                  <c:v>1570</c:v>
                </c:pt>
                <c:pt idx="15">
                  <c:v>1570</c:v>
                </c:pt>
                <c:pt idx="16">
                  <c:v>1570</c:v>
                </c:pt>
                <c:pt idx="17">
                  <c:v>1570</c:v>
                </c:pt>
                <c:pt idx="18">
                  <c:v>1570</c:v>
                </c:pt>
                <c:pt idx="19">
                  <c:v>1570</c:v>
                </c:pt>
                <c:pt idx="20">
                  <c:v>1570</c:v>
                </c:pt>
                <c:pt idx="21">
                  <c:v>1570</c:v>
                </c:pt>
                <c:pt idx="22">
                  <c:v>1570</c:v>
                </c:pt>
                <c:pt idx="23">
                  <c:v>1570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97-4679-AFF9-24A81116C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083360"/>
        <c:axId val="834087952"/>
      </c:lineChart>
      <c:catAx>
        <c:axId val="83408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087952"/>
        <c:crosses val="autoZero"/>
        <c:auto val="1"/>
        <c:lblAlgn val="ctr"/>
        <c:lblOffset val="100"/>
        <c:noMultiLvlLbl val="0"/>
      </c:catAx>
      <c:valAx>
        <c:axId val="834087952"/>
        <c:scaling>
          <c:orientation val="minMax"/>
          <c:max val="165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083360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Calibri" panose="020F0502020204030204" pitchFamily="34" charset="0"/>
              </a:defRPr>
            </a:pPr>
            <a:r>
              <a:rPr lang="vi-VN" sz="1400" b="1" i="0" baseline="0">
                <a:effectLst/>
                <a:latin typeface="Calibri" panose="020F0502020204030204" pitchFamily="34" charset="0"/>
                <a:cs typeface="Calibri" panose="020F0502020204030204" pitchFamily="34" charset="0"/>
              </a:rPr>
              <a:t>Tình trạng QM tồn theo nhà xưởng</a:t>
            </a:r>
            <a:endParaRPr lang="en-US" sz="1400" b="1">
              <a:effectLst/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'bieu-do-cot'!$B$2</c:f>
              <c:strCache>
                <c:ptCount val="1"/>
                <c:pt idx="0">
                  <c:v>Nhà A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'bieu-do-cot'!$A$3:$A$6</c:f>
              <c:strCache>
                <c:ptCount val="4"/>
                <c:pt idx="0">
                  <c:v>6H ~ 10H</c:v>
                </c:pt>
                <c:pt idx="1">
                  <c:v>10H ~ 13H</c:v>
                </c:pt>
                <c:pt idx="2">
                  <c:v>13H ~ 15H</c:v>
                </c:pt>
                <c:pt idx="3">
                  <c:v>15H ~ 17H</c:v>
                </c:pt>
              </c:strCache>
            </c:strRef>
          </c:cat>
          <c:val>
            <c:numRef>
              <c:f>'bieu-do-cot'!$B$3:$B$6</c:f>
              <c:numCache>
                <c:formatCode>General</c:formatCode>
                <c:ptCount val="4"/>
                <c:pt idx="0">
                  <c:v>107</c:v>
                </c:pt>
                <c:pt idx="1">
                  <c:v>131</c:v>
                </c:pt>
                <c:pt idx="2">
                  <c:v>158</c:v>
                </c:pt>
                <c:pt idx="3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D-42A1-95C7-01474A7B05DF}"/>
            </c:ext>
          </c:extLst>
        </c:ser>
        <c:ser>
          <c:idx val="1"/>
          <c:order val="1"/>
          <c:tx>
            <c:strRef>
              <c:f>'bieu-do-cot'!$C$2</c:f>
              <c:strCache>
                <c:ptCount val="1"/>
                <c:pt idx="0">
                  <c:v>Nhà B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'bieu-do-cot'!$A$3:$A$6</c:f>
              <c:strCache>
                <c:ptCount val="4"/>
                <c:pt idx="0">
                  <c:v>6H ~ 10H</c:v>
                </c:pt>
                <c:pt idx="1">
                  <c:v>10H ~ 13H</c:v>
                </c:pt>
                <c:pt idx="2">
                  <c:v>13H ~ 15H</c:v>
                </c:pt>
                <c:pt idx="3">
                  <c:v>15H ~ 17H</c:v>
                </c:pt>
              </c:strCache>
            </c:strRef>
          </c:cat>
          <c:val>
            <c:numRef>
              <c:f>'bieu-do-cot'!$C$3:$C$6</c:f>
              <c:numCache>
                <c:formatCode>General</c:formatCode>
                <c:ptCount val="4"/>
                <c:pt idx="0">
                  <c:v>76</c:v>
                </c:pt>
                <c:pt idx="1">
                  <c:v>70</c:v>
                </c:pt>
                <c:pt idx="2">
                  <c:v>69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4D-42A1-95C7-01474A7B05DF}"/>
            </c:ext>
          </c:extLst>
        </c:ser>
        <c:ser>
          <c:idx val="2"/>
          <c:order val="2"/>
          <c:tx>
            <c:strRef>
              <c:f>'bieu-do-cot'!$D$2</c:f>
              <c:strCache>
                <c:ptCount val="1"/>
                <c:pt idx="0">
                  <c:v>Nhà C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'bieu-do-cot'!$A$3:$A$6</c:f>
              <c:strCache>
                <c:ptCount val="4"/>
                <c:pt idx="0">
                  <c:v>6H ~ 10H</c:v>
                </c:pt>
                <c:pt idx="1">
                  <c:v>10H ~ 13H</c:v>
                </c:pt>
                <c:pt idx="2">
                  <c:v>13H ~ 15H</c:v>
                </c:pt>
                <c:pt idx="3">
                  <c:v>15H ~ 17H</c:v>
                </c:pt>
              </c:strCache>
            </c:strRef>
          </c:cat>
          <c:val>
            <c:numRef>
              <c:f>'bieu-do-cot'!$D$3:$D$6</c:f>
              <c:numCache>
                <c:formatCode>General</c:formatCode>
                <c:ptCount val="4"/>
                <c:pt idx="0">
                  <c:v>268</c:v>
                </c:pt>
                <c:pt idx="1">
                  <c:v>296</c:v>
                </c:pt>
                <c:pt idx="2">
                  <c:v>339</c:v>
                </c:pt>
                <c:pt idx="3">
                  <c:v>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4D-42A1-95C7-01474A7B0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4"/>
        <c:axId val="1005620512"/>
        <c:axId val="1005620840"/>
      </c:barChart>
      <c:catAx>
        <c:axId val="100562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620840"/>
        <c:crosses val="autoZero"/>
        <c:auto val="1"/>
        <c:lblAlgn val="ctr"/>
        <c:lblOffset val="100"/>
        <c:noMultiLvlLbl val="0"/>
      </c:catAx>
      <c:valAx>
        <c:axId val="1005620840"/>
        <c:scaling>
          <c:orientation val="minMax"/>
          <c:max val="35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62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Tỉ lệ lỗi BTCD tuần 4 tháng 6/2023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'bieu-do-tron'!$B$2</c:f>
              <c:strCache>
                <c:ptCount val="1"/>
                <c:pt idx="0">
                  <c:v>Số lỗi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30-458B-80A2-6B77524FDE2E}"/>
              </c:ext>
            </c:extLst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530-458B-80A2-6B77524FDE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'bieu-do-tron'!$A$3:$A$4</c:f>
              <c:strCache>
                <c:ptCount val="2"/>
                <c:pt idx="0">
                  <c:v>NG kích thước</c:v>
                </c:pt>
                <c:pt idx="1">
                  <c:v>NG Ngoại quan</c:v>
                </c:pt>
              </c:strCache>
            </c:strRef>
          </c:cat>
          <c:val>
            <c:numRef>
              <c:f>'bieu-do-tron'!$B$3:$B$4</c:f>
              <c:numCache>
                <c:formatCode>General</c:formatCode>
                <c:ptCount val="2"/>
                <c:pt idx="0">
                  <c:v>7</c:v>
                </c:pt>
                <c:pt idx="1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0-458B-80A2-6B77524FD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75000"/>
                    <a:lumOff val="25000"/>
                  </a:schemeClr>
                </a:solidFill>
              </a:rPr>
              <a:t>PHÂN</a:t>
            </a:r>
            <a:r>
              <a:rPr lang="en-US" b="1" baseline="0">
                <a:solidFill>
                  <a:schemeClr val="tx1">
                    <a:lumMod val="75000"/>
                    <a:lumOff val="25000"/>
                  </a:schemeClr>
                </a:solidFill>
              </a:rPr>
              <a:t> TÍCH NGUYÊN NHÂN</a:t>
            </a:r>
            <a:endParaRPr lang="en-US" b="1">
              <a:solidFill>
                <a:schemeClr val="tx1">
                  <a:lumMod val="75000"/>
                  <a:lumOff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'bieu-do-parento'!$C$1</c:f>
              <c:strCache>
                <c:ptCount val="1"/>
                <c:pt idx="0">
                  <c:v>Thời gian (h)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'bieu-do-parento'!$A$3:$A$12</c:f>
              <c:strCache>
                <c:ptCount val="10"/>
                <c:pt idx="0">
                  <c:v>Vấn đề 1</c:v>
                </c:pt>
                <c:pt idx="1">
                  <c:v>Vấn đề 2</c:v>
                </c:pt>
                <c:pt idx="2">
                  <c:v>Vấn đề 3</c:v>
                </c:pt>
                <c:pt idx="3">
                  <c:v>Vấn đề 4</c:v>
                </c:pt>
                <c:pt idx="4">
                  <c:v>Vấn đề 5</c:v>
                </c:pt>
                <c:pt idx="5">
                  <c:v>Vấn đề 6</c:v>
                </c:pt>
                <c:pt idx="6">
                  <c:v>Vấn đề 7</c:v>
                </c:pt>
                <c:pt idx="7">
                  <c:v>Vấn đề 8</c:v>
                </c:pt>
                <c:pt idx="8">
                  <c:v>Vấn đề 9</c:v>
                </c:pt>
                <c:pt idx="9">
                  <c:v>Vấn đề 10</c:v>
                </c:pt>
              </c:strCache>
            </c:strRef>
          </c:cat>
          <c:val>
            <c:numRef>
              <c:f>'bieu-do-parento'!$C$3:$C$12</c:f>
              <c:numCache>
                <c:formatCode>General</c:formatCode>
                <c:ptCount val="10"/>
                <c:pt idx="0">
                  <c:v>8.4199999999999997E-2</c:v>
                </c:pt>
                <c:pt idx="1">
                  <c:v>7.0900000000000005E-2</c:v>
                </c:pt>
                <c:pt idx="2">
                  <c:v>1.47E-2</c:v>
                </c:pt>
                <c:pt idx="3">
                  <c:v>1.43E-2</c:v>
                </c:pt>
                <c:pt idx="4">
                  <c:v>7.9000000000000008E-3</c:v>
                </c:pt>
                <c:pt idx="5">
                  <c:v>7.0000000000000001E-3</c:v>
                </c:pt>
                <c:pt idx="6">
                  <c:v>3.0000000000000001E-3</c:v>
                </c:pt>
                <c:pt idx="7">
                  <c:v>2.2000000000000001E-3</c:v>
                </c:pt>
                <c:pt idx="8">
                  <c:v>2E-3</c:v>
                </c:pt>
                <c:pt idx="9">
                  <c:v>1.8E-3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E-41BE-B072-6B0D59CE7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1038006776"/>
        <c:axId val="1038004480"/>
      </c:barChart>
      <c:lineChart>
        <c:grouping val="standard"/>
        <c:varyColors val="0"/>
        <c:ser>
          <c:idx val="1"/>
          <c:order val="1"/>
          <c:tx>
            <c:strRef>
              <c:f>'bieu-do-parento'!$D$1</c:f>
              <c:strCache>
                <c:ptCount val="1"/>
                <c:pt idx="0">
                  <c:v>% lũy tiến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'bieu-do-parento'!$A$3:$A$12</c:f>
              <c:strCache>
                <c:ptCount val="10"/>
                <c:pt idx="0">
                  <c:v>Vấn đề 1</c:v>
                </c:pt>
                <c:pt idx="1">
                  <c:v>Vấn đề 2</c:v>
                </c:pt>
                <c:pt idx="2">
                  <c:v>Vấn đề 3</c:v>
                </c:pt>
                <c:pt idx="3">
                  <c:v>Vấn đề 4</c:v>
                </c:pt>
                <c:pt idx="4">
                  <c:v>Vấn đề 5</c:v>
                </c:pt>
                <c:pt idx="5">
                  <c:v>Vấn đề 6</c:v>
                </c:pt>
                <c:pt idx="6">
                  <c:v>Vấn đề 7</c:v>
                </c:pt>
                <c:pt idx="7">
                  <c:v>Vấn đề 8</c:v>
                </c:pt>
                <c:pt idx="8">
                  <c:v>Vấn đề 9</c:v>
                </c:pt>
                <c:pt idx="9">
                  <c:v>Vấn đề 10</c:v>
                </c:pt>
              </c:strCache>
            </c:strRef>
          </c:cat>
          <c:val>
            <c:numRef>
              <c:f>'bieu-do-parento'!$D$2:$D$12</c:f>
              <c:numCache>
                <c:formatCode>0%</c:formatCode>
                <c:ptCount val="11"/>
                <c:pt idx="0" formatCode="General">
                  <c:v>0</c:v>
                </c:pt>
                <c:pt idx="1">
                  <c:v>0.40480769230769226</c:v>
                </c:pt>
                <c:pt idx="2">
                  <c:v>0.74567307692307683</c:v>
                </c:pt>
                <c:pt idx="3">
                  <c:v>0.81634615384615372</c:v>
                </c:pt>
                <c:pt idx="4">
                  <c:v>0.8850961538461537</c:v>
                </c:pt>
                <c:pt idx="5">
                  <c:v>0.92307692307692291</c:v>
                </c:pt>
                <c:pt idx="6">
                  <c:v>0.95673076923076905</c:v>
                </c:pt>
                <c:pt idx="7">
                  <c:v>0.97115384615384592</c:v>
                </c:pt>
                <c:pt idx="8">
                  <c:v>0.98173076923076896</c:v>
                </c:pt>
                <c:pt idx="9">
                  <c:v>0.99134615384615354</c:v>
                </c:pt>
                <c:pt idx="10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E-41BE-B072-6B0D59CE7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7985784"/>
        <c:axId val="1037984472"/>
      </c:lineChart>
      <c:catAx>
        <c:axId val="1038006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004480"/>
        <c:crosses val="autoZero"/>
        <c:auto val="1"/>
        <c:lblAlgn val="ctr"/>
        <c:lblOffset val="100"/>
        <c:noMultiLvlLbl val="0"/>
      </c:catAx>
      <c:valAx>
        <c:axId val="1038004480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006776"/>
        <c:crosses val="autoZero"/>
        <c:crossBetween val="between"/>
        <c:majorUnit val="5.000000000000001E-2"/>
      </c:valAx>
      <c:valAx>
        <c:axId val="1037984472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85784"/>
        <c:crosses val="max"/>
        <c:crossBetween val="midCat"/>
      </c:valAx>
      <c:catAx>
        <c:axId val="1037985784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984472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1" lang="en-US" sz="1800" b="1" i="0" baseline="0">
                <a:effectLst/>
              </a:rPr>
              <a:t>BIỂU ĐỒ QUẢN LÝ TIẾN ĐỘ QM LOT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'bieu-do-ket-hop'!$A$2</c:f>
              <c:strCache>
                <c:ptCount val="1"/>
                <c:pt idx="0">
                  <c:v>Kế hoạch nhập hàng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'bieu-do-ket-hop'!$B$1:$P$1</c:f>
              <c:strCache>
                <c:ptCount val="15"/>
                <c:pt idx="0">
                  <c:v>16/5</c:v>
                </c:pt>
                <c:pt idx="1">
                  <c:v>17/5</c:v>
                </c:pt>
                <c:pt idx="2">
                  <c:v>18/5</c:v>
                </c:pt>
                <c:pt idx="3">
                  <c:v>19/5</c:v>
                </c:pt>
                <c:pt idx="4">
                  <c:v>20/5</c:v>
                </c:pt>
                <c:pt idx="5">
                  <c:v>23/5</c:v>
                </c:pt>
                <c:pt idx="6">
                  <c:v>24/5</c:v>
                </c:pt>
                <c:pt idx="7">
                  <c:v>25/5</c:v>
                </c:pt>
                <c:pt idx="8">
                  <c:v>26/5</c:v>
                </c:pt>
                <c:pt idx="9">
                  <c:v>27/5</c:v>
                </c:pt>
                <c:pt idx="10">
                  <c:v>30/5</c:v>
                </c:pt>
                <c:pt idx="11">
                  <c:v>31/5</c:v>
                </c:pt>
                <c:pt idx="12">
                  <c:v>01/06</c:v>
                </c:pt>
                <c:pt idx="13">
                  <c:v>02/06</c:v>
                </c:pt>
                <c:pt idx="14">
                  <c:v>03/06</c:v>
                </c:pt>
              </c:strCache>
            </c:strRef>
          </c:cat>
          <c:val>
            <c:numRef>
              <c:f>'bieu-do-ket-hop'!$B$2:$P$2</c:f>
              <c:numCache>
                <c:formatCode>General</c:formatCode>
                <c:ptCount val="15"/>
                <c:pt idx="0">
                  <c:v>532</c:v>
                </c:pt>
                <c:pt idx="1">
                  <c:v>493</c:v>
                </c:pt>
                <c:pt idx="2">
                  <c:v>698</c:v>
                </c:pt>
                <c:pt idx="3">
                  <c:v>971</c:v>
                </c:pt>
                <c:pt idx="4">
                  <c:v>510</c:v>
                </c:pt>
                <c:pt idx="5">
                  <c:v>604</c:v>
                </c:pt>
                <c:pt idx="6">
                  <c:v>547</c:v>
                </c:pt>
                <c:pt idx="7">
                  <c:v>786</c:v>
                </c:pt>
                <c:pt idx="8">
                  <c:v>593</c:v>
                </c:pt>
                <c:pt idx="9">
                  <c:v>681</c:v>
                </c:pt>
                <c:pt idx="10">
                  <c:v>598</c:v>
                </c:pt>
                <c:pt idx="11">
                  <c:v>661</c:v>
                </c:pt>
                <c:pt idx="12">
                  <c:v>687</c:v>
                </c:pt>
                <c:pt idx="13">
                  <c:v>507</c:v>
                </c:pt>
                <c:pt idx="14">
                  <c:v>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84-4314-854E-7925476781E0}"/>
            </c:ext>
          </c:extLst>
        </c:ser>
        <c:ser>
          <c:idx val="1"/>
          <c:order val="1"/>
          <c:tx>
            <c:strRef>
              <c:f>'bieu-do-ket-hop'!$A$3</c:f>
              <c:strCache>
                <c:ptCount val="1"/>
                <c:pt idx="0">
                  <c:v>Linh kiện đã về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13"/>
              <c:layout>
                <c:manualLayout>
                  <c:x val="0"/>
                  <c:y val="0.1358234661434353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84-4314-854E-7925476781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4635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'bieu-do-ket-hop'!$B$1:$P$1</c:f>
              <c:strCache>
                <c:ptCount val="15"/>
                <c:pt idx="0">
                  <c:v>16/5</c:v>
                </c:pt>
                <c:pt idx="1">
                  <c:v>17/5</c:v>
                </c:pt>
                <c:pt idx="2">
                  <c:v>18/5</c:v>
                </c:pt>
                <c:pt idx="3">
                  <c:v>19/5</c:v>
                </c:pt>
                <c:pt idx="4">
                  <c:v>20/5</c:v>
                </c:pt>
                <c:pt idx="5">
                  <c:v>23/5</c:v>
                </c:pt>
                <c:pt idx="6">
                  <c:v>24/5</c:v>
                </c:pt>
                <c:pt idx="7">
                  <c:v>25/5</c:v>
                </c:pt>
                <c:pt idx="8">
                  <c:v>26/5</c:v>
                </c:pt>
                <c:pt idx="9">
                  <c:v>27/5</c:v>
                </c:pt>
                <c:pt idx="10">
                  <c:v>30/5</c:v>
                </c:pt>
                <c:pt idx="11">
                  <c:v>31/5</c:v>
                </c:pt>
                <c:pt idx="12">
                  <c:v>01/06</c:v>
                </c:pt>
                <c:pt idx="13">
                  <c:v>02/06</c:v>
                </c:pt>
                <c:pt idx="14">
                  <c:v>03/06</c:v>
                </c:pt>
              </c:strCache>
            </c:strRef>
          </c:cat>
          <c:val>
            <c:numRef>
              <c:f>'bieu-do-ket-hop'!$B$3:$P$3</c:f>
              <c:numCache>
                <c:formatCode>General</c:formatCode>
                <c:ptCount val="15"/>
                <c:pt idx="0">
                  <c:v>678</c:v>
                </c:pt>
                <c:pt idx="1">
                  <c:v>609</c:v>
                </c:pt>
                <c:pt idx="2">
                  <c:v>820</c:v>
                </c:pt>
                <c:pt idx="3">
                  <c:v>932</c:v>
                </c:pt>
                <c:pt idx="4">
                  <c:v>737</c:v>
                </c:pt>
                <c:pt idx="5">
                  <c:v>882</c:v>
                </c:pt>
                <c:pt idx="6">
                  <c:v>670</c:v>
                </c:pt>
                <c:pt idx="7">
                  <c:v>951</c:v>
                </c:pt>
                <c:pt idx="8">
                  <c:v>855</c:v>
                </c:pt>
                <c:pt idx="9">
                  <c:v>723</c:v>
                </c:pt>
                <c:pt idx="10">
                  <c:v>775</c:v>
                </c:pt>
                <c:pt idx="11">
                  <c:v>712</c:v>
                </c:pt>
                <c:pt idx="12">
                  <c:v>644</c:v>
                </c:pt>
                <c:pt idx="13">
                  <c:v>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84-4314-854E-7925476781E0}"/>
            </c:ext>
          </c:extLst>
        </c:ser>
        <c:ser>
          <c:idx val="3"/>
          <c:order val="3"/>
          <c:tx>
            <c:strRef>
              <c:f>'bieu-do-ket-hop'!$A$5</c:f>
              <c:strCache>
                <c:ptCount val="1"/>
                <c:pt idx="0">
                  <c:v>Linh kiện chưa kiểm tra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1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184-4314-854E-7925476781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'bieu-do-ket-hop'!$B$1:$P$1</c:f>
              <c:strCache>
                <c:ptCount val="15"/>
                <c:pt idx="0">
                  <c:v>16/5</c:v>
                </c:pt>
                <c:pt idx="1">
                  <c:v>17/5</c:v>
                </c:pt>
                <c:pt idx="2">
                  <c:v>18/5</c:v>
                </c:pt>
                <c:pt idx="3">
                  <c:v>19/5</c:v>
                </c:pt>
                <c:pt idx="4">
                  <c:v>20/5</c:v>
                </c:pt>
                <c:pt idx="5">
                  <c:v>23/5</c:v>
                </c:pt>
                <c:pt idx="6">
                  <c:v>24/5</c:v>
                </c:pt>
                <c:pt idx="7">
                  <c:v>25/5</c:v>
                </c:pt>
                <c:pt idx="8">
                  <c:v>26/5</c:v>
                </c:pt>
                <c:pt idx="9">
                  <c:v>27/5</c:v>
                </c:pt>
                <c:pt idx="10">
                  <c:v>30/5</c:v>
                </c:pt>
                <c:pt idx="11">
                  <c:v>31/5</c:v>
                </c:pt>
                <c:pt idx="12">
                  <c:v>01/06</c:v>
                </c:pt>
                <c:pt idx="13">
                  <c:v>02/06</c:v>
                </c:pt>
                <c:pt idx="14">
                  <c:v>03/06</c:v>
                </c:pt>
              </c:strCache>
            </c:strRef>
          </c:cat>
          <c:val>
            <c:numRef>
              <c:f>'bieu-do-ket-hop'!$B$5:$P$5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84-4314-854E-792547678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927887824"/>
        <c:axId val="927884216"/>
      </c:barChart>
      <c:lineChart>
        <c:grouping val="standard"/>
        <c:varyColors val="0"/>
        <c:ser>
          <c:idx val="2"/>
          <c:order val="2"/>
          <c:tx>
            <c:strRef>
              <c:f>'bieu-do-ket-hop'!$A$4</c:f>
              <c:strCache>
                <c:ptCount val="1"/>
                <c:pt idx="0">
                  <c:v>Linh kiện đã kiểm tra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'bieu-do-ket-hop'!$B$1:$P$1</c:f>
              <c:strCache>
                <c:ptCount val="15"/>
                <c:pt idx="0">
                  <c:v>16/5</c:v>
                </c:pt>
                <c:pt idx="1">
                  <c:v>17/5</c:v>
                </c:pt>
                <c:pt idx="2">
                  <c:v>18/5</c:v>
                </c:pt>
                <c:pt idx="3">
                  <c:v>19/5</c:v>
                </c:pt>
                <c:pt idx="4">
                  <c:v>20/5</c:v>
                </c:pt>
                <c:pt idx="5">
                  <c:v>23/5</c:v>
                </c:pt>
                <c:pt idx="6">
                  <c:v>24/5</c:v>
                </c:pt>
                <c:pt idx="7">
                  <c:v>25/5</c:v>
                </c:pt>
                <c:pt idx="8">
                  <c:v>26/5</c:v>
                </c:pt>
                <c:pt idx="9">
                  <c:v>27/5</c:v>
                </c:pt>
                <c:pt idx="10">
                  <c:v>30/5</c:v>
                </c:pt>
                <c:pt idx="11">
                  <c:v>31/5</c:v>
                </c:pt>
                <c:pt idx="12">
                  <c:v>01/06</c:v>
                </c:pt>
                <c:pt idx="13">
                  <c:v>02/06</c:v>
                </c:pt>
                <c:pt idx="14">
                  <c:v>03/06</c:v>
                </c:pt>
              </c:strCache>
            </c:strRef>
          </c:cat>
          <c:val>
            <c:numRef>
              <c:f>'bieu-do-ket-hop'!$B$4:$P$4</c:f>
              <c:numCache>
                <c:formatCode>General</c:formatCode>
                <c:ptCount val="15"/>
                <c:pt idx="0">
                  <c:v>560</c:v>
                </c:pt>
                <c:pt idx="1">
                  <c:v>696</c:v>
                </c:pt>
                <c:pt idx="2">
                  <c:v>680</c:v>
                </c:pt>
                <c:pt idx="3">
                  <c:v>768</c:v>
                </c:pt>
                <c:pt idx="4">
                  <c:v>746</c:v>
                </c:pt>
                <c:pt idx="5">
                  <c:v>846</c:v>
                </c:pt>
                <c:pt idx="6">
                  <c:v>880</c:v>
                </c:pt>
                <c:pt idx="7">
                  <c:v>724</c:v>
                </c:pt>
                <c:pt idx="8">
                  <c:v>1008</c:v>
                </c:pt>
                <c:pt idx="9">
                  <c:v>866</c:v>
                </c:pt>
                <c:pt idx="10">
                  <c:v>775</c:v>
                </c:pt>
                <c:pt idx="11">
                  <c:v>745</c:v>
                </c:pt>
                <c:pt idx="12">
                  <c:v>633</c:v>
                </c:pt>
                <c:pt idx="13">
                  <c:v>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84-4314-854E-792547678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7887824"/>
        <c:axId val="927884216"/>
      </c:lineChart>
      <c:catAx>
        <c:axId val="92788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884216"/>
        <c:crosses val="autoZero"/>
        <c:auto val="1"/>
        <c:lblAlgn val="ctr"/>
        <c:lblOffset val="100"/>
        <c:noMultiLvlLbl val="0"/>
      </c:catAx>
      <c:valAx>
        <c:axId val="927884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88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291043</xdr:colOff>
      <xdr:row>0</xdr:row>
      <xdr:rowOff>57148</xdr:rowOff>
    </xdr:from>
    <xdr:to>
      <xdr:col>13</xdr:col>
      <xdr:colOff>123825</xdr:colOff>
      <xdr:row>20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B38DB5-0BDF-A010-3820-6AB86AB49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0.00232</cdr:x>
      <cdr:y>0.05839</cdr:y>
    </cdr:from>
    <cdr:to>
      <cdr:x>0.14852</cdr:x>
      <cdr:y>0.11192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23BE58-BDE8-3ADD-5E44-CFE4800B6F97}"/>
            </a:ext>
          </a:extLst>
        </cdr:cNvPr>
        <cdr:cNvSpPr txBox="1"/>
      </cdr:nvSpPr>
      <cdr:spPr>
        <a:xfrm xmlns:a="http://schemas.openxmlformats.org/drawingml/2006/main">
          <a:off x="13757" y="228602"/>
          <a:ext cx="866775" cy="209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chemeClr val="tx1">
                  <a:lumMod val="75000"/>
                  <a:lumOff val="25000"/>
                </a:schemeClr>
              </a:solidFill>
            </a:rPr>
            <a:t>       (H)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447675</xdr:colOff>
      <xdr:row>4</xdr:row>
      <xdr:rowOff>71438</xdr:rowOff>
    </xdr:from>
    <xdr:to>
      <xdr:col>16</xdr:col>
      <xdr:colOff>323850</xdr:colOff>
      <xdr:row>18</xdr:row>
      <xdr:rowOff>142876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134CF0-9819-6200-664E-DCD9E1F4F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0.00811</cdr:x>
      <cdr:y>0.04696</cdr:y>
    </cdr:from>
    <cdr:to>
      <cdr:x>0.14402</cdr:x>
      <cdr:y>0.13739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CA999B9-71D0-1063-3400-FD25D289C7E4}"/>
            </a:ext>
          </a:extLst>
        </cdr:cNvPr>
        <cdr:cNvSpPr txBox="1"/>
      </cdr:nvSpPr>
      <cdr:spPr>
        <a:xfrm xmlns:a="http://schemas.openxmlformats.org/drawingml/2006/main">
          <a:off x="38102" y="128586"/>
          <a:ext cx="638174" cy="2476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Số</a:t>
          </a:r>
          <a:r>
            <a:rPr lang="en-US" sz="11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 Lot</a:t>
          </a:r>
          <a:endParaRPr lang="en-US" sz="1100" b="1">
            <a:solidFill>
              <a:schemeClr val="tx1">
                <a:lumMod val="75000"/>
                <a:lumOff val="25000"/>
              </a:schemeClr>
            </a:solidFill>
            <a:latin typeface="+mn-lt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280987</xdr:colOff>
      <xdr:row>0</xdr:row>
      <xdr:rowOff>14287</xdr:rowOff>
    </xdr:from>
    <xdr:to>
      <xdr:col>9</xdr:col>
      <xdr:colOff>585787</xdr:colOff>
      <xdr:row>14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A0C1C5-93D0-AB96-77A2-1194B2E17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5291</xdr:colOff>
      <xdr:row>0</xdr:row>
      <xdr:rowOff>163511</xdr:rowOff>
    </xdr:from>
    <xdr:to>
      <xdr:col>12</xdr:col>
      <xdr:colOff>214841</xdr:colOff>
      <xdr:row>11</xdr:row>
      <xdr:rowOff>75141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18DBEB-90D6-CD77-58DF-A745B21A8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0.02537</cdr:y>
    </cdr:from>
    <cdr:to>
      <cdr:x>0.21489</cdr:x>
      <cdr:y>0.09479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3E0F0BA-2C44-9935-0964-CE685707ACEA}"/>
            </a:ext>
          </a:extLst>
        </cdr:cNvPr>
        <cdr:cNvSpPr txBox="1"/>
      </cdr:nvSpPr>
      <cdr:spPr>
        <a:xfrm xmlns:a="http://schemas.openxmlformats.org/drawingml/2006/main">
          <a:off x="0" y="90498"/>
          <a:ext cx="962024" cy="2476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chemeClr val="tx1">
                  <a:lumMod val="75000"/>
                  <a:lumOff val="25000"/>
                </a:schemeClr>
              </a:solidFill>
            </a:rPr>
            <a:t>Đơn</a:t>
          </a:r>
          <a:r>
            <a:rPr lang="en-US" sz="1100" b="1" baseline="0">
              <a:solidFill>
                <a:schemeClr val="tx1">
                  <a:lumMod val="75000"/>
                  <a:lumOff val="25000"/>
                </a:schemeClr>
              </a:solidFill>
            </a:rPr>
            <a:t> vị: h/mã</a:t>
          </a:r>
          <a:endParaRPr lang="en-US" sz="1100" b="1">
            <a:solidFill>
              <a:schemeClr val="tx1">
                <a:lumMod val="75000"/>
                <a:lumOff val="2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0.87021</cdr:x>
      <cdr:y>0.0227</cdr:y>
    </cdr:from>
    <cdr:to>
      <cdr:x>1</cdr:x>
      <cdr:y>0.08945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C8A0CB8-717C-184A-B8D0-F20BCE171FCC}"/>
            </a:ext>
          </a:extLst>
        </cdr:cNvPr>
        <cdr:cNvSpPr txBox="1"/>
      </cdr:nvSpPr>
      <cdr:spPr>
        <a:xfrm xmlns:a="http://schemas.openxmlformats.org/drawingml/2006/main">
          <a:off x="3895725" y="80965"/>
          <a:ext cx="581025" cy="2381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chemeClr val="tx1">
                  <a:lumMod val="75000"/>
                  <a:lumOff val="25000"/>
                </a:schemeClr>
              </a:solidFill>
            </a:rPr>
            <a:t>Tỉ</a:t>
          </a:r>
          <a:r>
            <a:rPr lang="en-US" sz="1100" b="1" baseline="0">
              <a:solidFill>
                <a:schemeClr val="tx1">
                  <a:lumMod val="75000"/>
                  <a:lumOff val="25000"/>
                </a:schemeClr>
              </a:solidFill>
            </a:rPr>
            <a:t> lệ %</a:t>
          </a:r>
          <a:endParaRPr lang="en-US" sz="1100" b="1">
            <a:solidFill>
              <a:schemeClr val="tx1">
                <a:lumMod val="75000"/>
                <a:lumOff val="25000"/>
              </a:schemeClr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42862</xdr:rowOff>
    </xdr:from>
    <xdr:to>
      <xdr:col>22</xdr:col>
      <xdr:colOff>4763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EDBAF7-0856-0C7F-E69A-2940673BC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0.01045</cdr:x>
      <cdr:y>0.06048</cdr:y>
    </cdr:from>
    <cdr:to>
      <cdr:x>0.0917</cdr:x>
      <cdr:y>0.13362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A5E80DC-25C7-8663-F6EF-366E864BE59F}"/>
            </a:ext>
          </a:extLst>
        </cdr:cNvPr>
        <cdr:cNvSpPr txBox="1"/>
      </cdr:nvSpPr>
      <cdr:spPr>
        <a:xfrm xmlns:a="http://schemas.openxmlformats.org/drawingml/2006/main">
          <a:off x="85725" y="204789"/>
          <a:ext cx="66675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Số</a:t>
          </a:r>
          <a:r>
            <a:rPr lang="en-US" sz="1100" b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lot</a:t>
          </a:r>
          <a:endParaRPr lang="en-US">
            <a:solidFill>
              <a:schemeClr val="tx1">
                <a:lumMod val="75000"/>
                <a:lumOff val="25000"/>
              </a:schemeClr>
            </a:solidFill>
            <a:effectLst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3A382-22F3-4366-8986-2F2A91B3A6B9}">
  <sheetPr codeName="Sheet2"/>
  <dimension ref="A1:C29"/>
  <sheetViews>
    <sheetView tabSelected="1" zoomScaleNormal="100" workbookViewId="0">
      <selection activeCell="B18" sqref="B18"/>
    </sheetView>
  </sheetViews>
  <sheetFormatPr defaultRowHeight="15" x14ac:dyDescent="0.25"/>
  <cols>
    <col min="1" max="1" width="15.5703125" customWidth="1"/>
    <col min="2" max="2" width="13.7109375" customWidth="1"/>
    <col min="3" max="3" width="16.7109375" customWidth="1"/>
    <col min="257" max="257" width="15.5703125" customWidth="1"/>
    <col min="258" max="258" width="13.7109375" customWidth="1"/>
    <col min="259" max="259" width="16.7109375" customWidth="1"/>
    <col min="513" max="513" width="15.5703125" customWidth="1"/>
    <col min="514" max="514" width="13.7109375" customWidth="1"/>
    <col min="515" max="515" width="16.7109375" customWidth="1"/>
    <col min="769" max="769" width="15.5703125" customWidth="1"/>
    <col min="770" max="770" width="13.7109375" customWidth="1"/>
    <col min="771" max="771" width="16.7109375" customWidth="1"/>
    <col min="1025" max="1025" width="15.5703125" customWidth="1"/>
    <col min="1026" max="1026" width="13.7109375" customWidth="1"/>
    <col min="1027" max="1027" width="16.7109375" customWidth="1"/>
    <col min="1281" max="1281" width="15.5703125" customWidth="1"/>
    <col min="1282" max="1282" width="13.7109375" customWidth="1"/>
    <col min="1283" max="1283" width="16.7109375" customWidth="1"/>
    <col min="1537" max="1537" width="15.5703125" customWidth="1"/>
    <col min="1538" max="1538" width="13.7109375" customWidth="1"/>
    <col min="1539" max="1539" width="16.7109375" customWidth="1"/>
    <col min="1793" max="1793" width="15.5703125" customWidth="1"/>
    <col min="1794" max="1794" width="13.7109375" customWidth="1"/>
    <col min="1795" max="1795" width="16.7109375" customWidth="1"/>
    <col min="2049" max="2049" width="15.5703125" customWidth="1"/>
    <col min="2050" max="2050" width="13.7109375" customWidth="1"/>
    <col min="2051" max="2051" width="16.7109375" customWidth="1"/>
    <col min="2305" max="2305" width="15.5703125" customWidth="1"/>
    <col min="2306" max="2306" width="13.7109375" customWidth="1"/>
    <col min="2307" max="2307" width="16.7109375" customWidth="1"/>
    <col min="2561" max="2561" width="15.5703125" customWidth="1"/>
    <col min="2562" max="2562" width="13.7109375" customWidth="1"/>
    <col min="2563" max="2563" width="16.7109375" customWidth="1"/>
    <col min="2817" max="2817" width="15.5703125" customWidth="1"/>
    <col min="2818" max="2818" width="13.7109375" customWidth="1"/>
    <col min="2819" max="2819" width="16.7109375" customWidth="1"/>
    <col min="3073" max="3073" width="15.5703125" customWidth="1"/>
    <col min="3074" max="3074" width="13.7109375" customWidth="1"/>
    <col min="3075" max="3075" width="16.7109375" customWidth="1"/>
    <col min="3329" max="3329" width="15.5703125" customWidth="1"/>
    <col min="3330" max="3330" width="13.7109375" customWidth="1"/>
    <col min="3331" max="3331" width="16.7109375" customWidth="1"/>
    <col min="3585" max="3585" width="15.5703125" customWidth="1"/>
    <col min="3586" max="3586" width="13.7109375" customWidth="1"/>
    <col min="3587" max="3587" width="16.7109375" customWidth="1"/>
    <col min="3841" max="3841" width="15.5703125" customWidth="1"/>
    <col min="3842" max="3842" width="13.7109375" customWidth="1"/>
    <col min="3843" max="3843" width="16.7109375" customWidth="1"/>
    <col min="4097" max="4097" width="15.5703125" customWidth="1"/>
    <col min="4098" max="4098" width="13.7109375" customWidth="1"/>
    <col min="4099" max="4099" width="16.7109375" customWidth="1"/>
    <col min="4353" max="4353" width="15.5703125" customWidth="1"/>
    <col min="4354" max="4354" width="13.7109375" customWidth="1"/>
    <col min="4355" max="4355" width="16.7109375" customWidth="1"/>
    <col min="4609" max="4609" width="15.5703125" customWidth="1"/>
    <col min="4610" max="4610" width="13.7109375" customWidth="1"/>
    <col min="4611" max="4611" width="16.7109375" customWidth="1"/>
    <col min="4865" max="4865" width="15.5703125" customWidth="1"/>
    <col min="4866" max="4866" width="13.7109375" customWidth="1"/>
    <col min="4867" max="4867" width="16.7109375" customWidth="1"/>
    <col min="5121" max="5121" width="15.5703125" customWidth="1"/>
    <col min="5122" max="5122" width="13.7109375" customWidth="1"/>
    <col min="5123" max="5123" width="16.7109375" customWidth="1"/>
    <col min="5377" max="5377" width="15.5703125" customWidth="1"/>
    <col min="5378" max="5378" width="13.7109375" customWidth="1"/>
    <col min="5379" max="5379" width="16.7109375" customWidth="1"/>
    <col min="5633" max="5633" width="15.5703125" customWidth="1"/>
    <col min="5634" max="5634" width="13.7109375" customWidth="1"/>
    <col min="5635" max="5635" width="16.7109375" customWidth="1"/>
    <col min="5889" max="5889" width="15.5703125" customWidth="1"/>
    <col min="5890" max="5890" width="13.7109375" customWidth="1"/>
    <col min="5891" max="5891" width="16.7109375" customWidth="1"/>
    <col min="6145" max="6145" width="15.5703125" customWidth="1"/>
    <col min="6146" max="6146" width="13.7109375" customWidth="1"/>
    <col min="6147" max="6147" width="16.7109375" customWidth="1"/>
    <col min="6401" max="6401" width="15.5703125" customWidth="1"/>
    <col min="6402" max="6402" width="13.7109375" customWidth="1"/>
    <col min="6403" max="6403" width="16.7109375" customWidth="1"/>
    <col min="6657" max="6657" width="15.5703125" customWidth="1"/>
    <col min="6658" max="6658" width="13.7109375" customWidth="1"/>
    <col min="6659" max="6659" width="16.7109375" customWidth="1"/>
    <col min="6913" max="6913" width="15.5703125" customWidth="1"/>
    <col min="6914" max="6914" width="13.7109375" customWidth="1"/>
    <col min="6915" max="6915" width="16.7109375" customWidth="1"/>
    <col min="7169" max="7169" width="15.5703125" customWidth="1"/>
    <col min="7170" max="7170" width="13.7109375" customWidth="1"/>
    <col min="7171" max="7171" width="16.7109375" customWidth="1"/>
    <col min="7425" max="7425" width="15.5703125" customWidth="1"/>
    <col min="7426" max="7426" width="13.7109375" customWidth="1"/>
    <col min="7427" max="7427" width="16.7109375" customWidth="1"/>
    <col min="7681" max="7681" width="15.5703125" customWidth="1"/>
    <col min="7682" max="7682" width="13.7109375" customWidth="1"/>
    <col min="7683" max="7683" width="16.7109375" customWidth="1"/>
    <col min="7937" max="7937" width="15.5703125" customWidth="1"/>
    <col min="7938" max="7938" width="13.7109375" customWidth="1"/>
    <col min="7939" max="7939" width="16.7109375" customWidth="1"/>
    <col min="8193" max="8193" width="15.5703125" customWidth="1"/>
    <col min="8194" max="8194" width="13.7109375" customWidth="1"/>
    <col min="8195" max="8195" width="16.7109375" customWidth="1"/>
    <col min="8449" max="8449" width="15.5703125" customWidth="1"/>
    <col min="8450" max="8450" width="13.7109375" customWidth="1"/>
    <col min="8451" max="8451" width="16.7109375" customWidth="1"/>
    <col min="8705" max="8705" width="15.5703125" customWidth="1"/>
    <col min="8706" max="8706" width="13.7109375" customWidth="1"/>
    <col min="8707" max="8707" width="16.7109375" customWidth="1"/>
    <col min="8961" max="8961" width="15.5703125" customWidth="1"/>
    <col min="8962" max="8962" width="13.7109375" customWidth="1"/>
    <col min="8963" max="8963" width="16.7109375" customWidth="1"/>
    <col min="9217" max="9217" width="15.5703125" customWidth="1"/>
    <col min="9218" max="9218" width="13.7109375" customWidth="1"/>
    <col min="9219" max="9219" width="16.7109375" customWidth="1"/>
    <col min="9473" max="9473" width="15.5703125" customWidth="1"/>
    <col min="9474" max="9474" width="13.7109375" customWidth="1"/>
    <col min="9475" max="9475" width="16.7109375" customWidth="1"/>
    <col min="9729" max="9729" width="15.5703125" customWidth="1"/>
    <col min="9730" max="9730" width="13.7109375" customWidth="1"/>
    <col min="9731" max="9731" width="16.7109375" customWidth="1"/>
    <col min="9985" max="9985" width="15.5703125" customWidth="1"/>
    <col min="9986" max="9986" width="13.7109375" customWidth="1"/>
    <col min="9987" max="9987" width="16.7109375" customWidth="1"/>
    <col min="10241" max="10241" width="15.5703125" customWidth="1"/>
    <col min="10242" max="10242" width="13.7109375" customWidth="1"/>
    <col min="10243" max="10243" width="16.7109375" customWidth="1"/>
    <col min="10497" max="10497" width="15.5703125" customWidth="1"/>
    <col min="10498" max="10498" width="13.7109375" customWidth="1"/>
    <col min="10499" max="10499" width="16.7109375" customWidth="1"/>
    <col min="10753" max="10753" width="15.5703125" customWidth="1"/>
    <col min="10754" max="10754" width="13.7109375" customWidth="1"/>
    <col min="10755" max="10755" width="16.7109375" customWidth="1"/>
    <col min="11009" max="11009" width="15.5703125" customWidth="1"/>
    <col min="11010" max="11010" width="13.7109375" customWidth="1"/>
    <col min="11011" max="11011" width="16.7109375" customWidth="1"/>
    <col min="11265" max="11265" width="15.5703125" customWidth="1"/>
    <col min="11266" max="11266" width="13.7109375" customWidth="1"/>
    <col min="11267" max="11267" width="16.7109375" customWidth="1"/>
    <col min="11521" max="11521" width="15.5703125" customWidth="1"/>
    <col min="11522" max="11522" width="13.7109375" customWidth="1"/>
    <col min="11523" max="11523" width="16.7109375" customWidth="1"/>
    <col min="11777" max="11777" width="15.5703125" customWidth="1"/>
    <col min="11778" max="11778" width="13.7109375" customWidth="1"/>
    <col min="11779" max="11779" width="16.7109375" customWidth="1"/>
    <col min="12033" max="12033" width="15.5703125" customWidth="1"/>
    <col min="12034" max="12034" width="13.7109375" customWidth="1"/>
    <col min="12035" max="12035" width="16.7109375" customWidth="1"/>
    <col min="12289" max="12289" width="15.5703125" customWidth="1"/>
    <col min="12290" max="12290" width="13.7109375" customWidth="1"/>
    <col min="12291" max="12291" width="16.7109375" customWidth="1"/>
    <col min="12545" max="12545" width="15.5703125" customWidth="1"/>
    <col min="12546" max="12546" width="13.7109375" customWidth="1"/>
    <col min="12547" max="12547" width="16.7109375" customWidth="1"/>
    <col min="12801" max="12801" width="15.5703125" customWidth="1"/>
    <col min="12802" max="12802" width="13.7109375" customWidth="1"/>
    <col min="12803" max="12803" width="16.7109375" customWidth="1"/>
    <col min="13057" max="13057" width="15.5703125" customWidth="1"/>
    <col min="13058" max="13058" width="13.7109375" customWidth="1"/>
    <col min="13059" max="13059" width="16.7109375" customWidth="1"/>
    <col min="13313" max="13313" width="15.5703125" customWidth="1"/>
    <col min="13314" max="13314" width="13.7109375" customWidth="1"/>
    <col min="13315" max="13315" width="16.7109375" customWidth="1"/>
    <col min="13569" max="13569" width="15.5703125" customWidth="1"/>
    <col min="13570" max="13570" width="13.7109375" customWidth="1"/>
    <col min="13571" max="13571" width="16.7109375" customWidth="1"/>
    <col min="13825" max="13825" width="15.5703125" customWidth="1"/>
    <col min="13826" max="13826" width="13.7109375" customWidth="1"/>
    <col min="13827" max="13827" width="16.7109375" customWidth="1"/>
    <col min="14081" max="14081" width="15.5703125" customWidth="1"/>
    <col min="14082" max="14082" width="13.7109375" customWidth="1"/>
    <col min="14083" max="14083" width="16.7109375" customWidth="1"/>
    <col min="14337" max="14337" width="15.5703125" customWidth="1"/>
    <col min="14338" max="14338" width="13.7109375" customWidth="1"/>
    <col min="14339" max="14339" width="16.7109375" customWidth="1"/>
    <col min="14593" max="14593" width="15.5703125" customWidth="1"/>
    <col min="14594" max="14594" width="13.7109375" customWidth="1"/>
    <col min="14595" max="14595" width="16.7109375" customWidth="1"/>
    <col min="14849" max="14849" width="15.5703125" customWidth="1"/>
    <col min="14850" max="14850" width="13.7109375" customWidth="1"/>
    <col min="14851" max="14851" width="16.7109375" customWidth="1"/>
    <col min="15105" max="15105" width="15.5703125" customWidth="1"/>
    <col min="15106" max="15106" width="13.7109375" customWidth="1"/>
    <col min="15107" max="15107" width="16.7109375" customWidth="1"/>
    <col min="15361" max="15361" width="15.5703125" customWidth="1"/>
    <col min="15362" max="15362" width="13.7109375" customWidth="1"/>
    <col min="15363" max="15363" width="16.7109375" customWidth="1"/>
    <col min="15617" max="15617" width="15.5703125" customWidth="1"/>
    <col min="15618" max="15618" width="13.7109375" customWidth="1"/>
    <col min="15619" max="15619" width="16.7109375" customWidth="1"/>
    <col min="15873" max="15873" width="15.5703125" customWidth="1"/>
    <col min="15874" max="15874" width="13.7109375" customWidth="1"/>
    <col min="15875" max="15875" width="16.7109375" customWidth="1"/>
    <col min="16129" max="16129" width="15.5703125" customWidth="1"/>
    <col min="16130" max="16130" width="13.7109375" customWidth="1"/>
    <col min="16131" max="16131" width="16.7109375" customWidth="1"/>
  </cols>
  <sheetData>
    <row r="1" spans="1:3" x14ac:dyDescent="0.25">
      <c r="A1" s="17" t="s">
        <v>7</v>
      </c>
      <c r="B1" s="18" t="s">
        <v>8</v>
      </c>
      <c r="C1" s="20" t="s">
        <v>9</v>
      </c>
    </row>
    <row r="2" spans="1:3" x14ac:dyDescent="0.25">
      <c r="A2" s="17"/>
      <c r="B2" s="19"/>
      <c r="C2" s="21"/>
    </row>
    <row r="3" spans="1:3" x14ac:dyDescent="0.25">
      <c r="A3" s="4" t="s">
        <v>10</v>
      </c>
      <c r="B3" s="3">
        <v>80.75</v>
      </c>
      <c r="C3" s="3">
        <v>1570</v>
      </c>
    </row>
    <row r="4" spans="1:3" x14ac:dyDescent="0.25">
      <c r="A4" s="4" t="s">
        <v>11</v>
      </c>
      <c r="B4" s="5">
        <v>157.25</v>
      </c>
      <c r="C4" s="3">
        <v>1570</v>
      </c>
    </row>
    <row r="5" spans="1:3" x14ac:dyDescent="0.25">
      <c r="A5" s="4" t="s">
        <v>12</v>
      </c>
      <c r="B5" s="5">
        <v>220.75</v>
      </c>
      <c r="C5" s="3">
        <v>1570</v>
      </c>
    </row>
    <row r="6" spans="1:3" x14ac:dyDescent="0.25">
      <c r="A6" s="4" t="s">
        <v>13</v>
      </c>
      <c r="B6" s="5">
        <v>284.5</v>
      </c>
      <c r="C6" s="3">
        <v>1570</v>
      </c>
    </row>
    <row r="7" spans="1:3" x14ac:dyDescent="0.25">
      <c r="A7" s="4" t="s">
        <v>14</v>
      </c>
      <c r="B7" s="5">
        <v>352</v>
      </c>
      <c r="C7" s="3">
        <v>1570</v>
      </c>
    </row>
    <row r="8" spans="1:3" x14ac:dyDescent="0.25">
      <c r="A8" s="4" t="s">
        <v>15</v>
      </c>
      <c r="B8" s="5">
        <v>421</v>
      </c>
      <c r="C8" s="3">
        <v>1570</v>
      </c>
    </row>
    <row r="9" spans="1:3" x14ac:dyDescent="0.25">
      <c r="A9" s="4" t="s">
        <v>16</v>
      </c>
      <c r="B9" s="5">
        <v>494</v>
      </c>
      <c r="C9" s="3">
        <v>1570</v>
      </c>
    </row>
    <row r="10" spans="1:3" x14ac:dyDescent="0.25">
      <c r="A10" s="4" t="s">
        <v>17</v>
      </c>
      <c r="B10" s="5">
        <v>502</v>
      </c>
      <c r="C10" s="3">
        <v>1570</v>
      </c>
    </row>
    <row r="11" spans="1:3" x14ac:dyDescent="0.25">
      <c r="A11" s="4" t="s">
        <v>18</v>
      </c>
      <c r="B11" s="5">
        <v>580</v>
      </c>
      <c r="C11" s="3">
        <v>1570</v>
      </c>
    </row>
    <row r="12" spans="1:3" ht="15.75" customHeight="1" x14ac:dyDescent="0.25">
      <c r="A12" s="4" t="s">
        <v>19</v>
      </c>
      <c r="B12" s="5">
        <v>649</v>
      </c>
      <c r="C12" s="3">
        <v>1570</v>
      </c>
    </row>
    <row r="13" spans="1:3" x14ac:dyDescent="0.25">
      <c r="A13" s="4" t="s">
        <v>20</v>
      </c>
      <c r="B13" s="5">
        <v>708.5</v>
      </c>
      <c r="C13" s="3">
        <v>1570</v>
      </c>
    </row>
    <row r="14" spans="1:3" x14ac:dyDescent="0.25">
      <c r="A14" s="4" t="s">
        <v>21</v>
      </c>
      <c r="B14" s="5">
        <v>793.5</v>
      </c>
      <c r="C14" s="3">
        <v>1570</v>
      </c>
    </row>
    <row r="15" spans="1:3" x14ac:dyDescent="0.25">
      <c r="A15" s="4" t="s">
        <v>22</v>
      </c>
      <c r="B15" s="5">
        <v>912.5</v>
      </c>
      <c r="C15" s="3">
        <v>1570</v>
      </c>
    </row>
    <row r="16" spans="1:3" x14ac:dyDescent="0.25">
      <c r="A16" s="4" t="s">
        <v>23</v>
      </c>
      <c r="B16" s="5">
        <v>950.75</v>
      </c>
      <c r="C16" s="3">
        <v>1570</v>
      </c>
    </row>
    <row r="17" spans="1:3" x14ac:dyDescent="0.25">
      <c r="A17" s="4" t="s">
        <v>24</v>
      </c>
      <c r="B17" s="5">
        <v>989</v>
      </c>
      <c r="C17" s="3">
        <v>1570</v>
      </c>
    </row>
    <row r="18" spans="1:3" x14ac:dyDescent="0.25">
      <c r="A18" s="4" t="s">
        <v>25</v>
      </c>
      <c r="B18" s="5">
        <v>1021.75</v>
      </c>
      <c r="C18" s="3">
        <v>1570</v>
      </c>
    </row>
    <row r="19" spans="1:3" x14ac:dyDescent="0.25">
      <c r="A19" s="4" t="s">
        <v>26</v>
      </c>
      <c r="B19" s="5">
        <v>1046</v>
      </c>
      <c r="C19" s="3">
        <v>1570</v>
      </c>
    </row>
    <row r="20" spans="1:3" x14ac:dyDescent="0.25">
      <c r="A20" s="4" t="s">
        <v>27</v>
      </c>
      <c r="B20" s="5">
        <v>1101</v>
      </c>
      <c r="C20" s="3">
        <v>1570</v>
      </c>
    </row>
    <row r="21" spans="1:3" x14ac:dyDescent="0.25">
      <c r="A21" s="4" t="s">
        <v>28</v>
      </c>
      <c r="B21" s="5">
        <v>1198.75</v>
      </c>
      <c r="C21" s="3">
        <v>1570</v>
      </c>
    </row>
    <row r="22" spans="1:3" x14ac:dyDescent="0.25">
      <c r="A22" s="4" t="s">
        <v>29</v>
      </c>
      <c r="B22" s="5">
        <v>1270.75</v>
      </c>
      <c r="C22" s="3">
        <v>1570</v>
      </c>
    </row>
    <row r="23" spans="1:3" x14ac:dyDescent="0.25">
      <c r="A23" s="4" t="s">
        <v>30</v>
      </c>
      <c r="B23" s="5">
        <v>1331.25</v>
      </c>
      <c r="C23" s="3">
        <v>1570</v>
      </c>
    </row>
    <row r="24" spans="1:3" x14ac:dyDescent="0.25">
      <c r="A24" s="4" t="s">
        <v>31</v>
      </c>
      <c r="B24" s="5">
        <v>1412</v>
      </c>
      <c r="C24" s="3">
        <v>1570</v>
      </c>
    </row>
    <row r="25" spans="1:3" x14ac:dyDescent="0.25">
      <c r="A25" s="4" t="s">
        <v>32</v>
      </c>
      <c r="B25" s="5">
        <v>1510.75</v>
      </c>
      <c r="C25" s="3">
        <v>1570</v>
      </c>
    </row>
    <row r="26" spans="1:3" x14ac:dyDescent="0.25">
      <c r="B26" s="6"/>
    </row>
    <row r="27" spans="1:3" x14ac:dyDescent="0.25">
      <c r="B27" s="6"/>
      <c r="C27" s="7"/>
    </row>
    <row r="28" spans="1:3" ht="15.75" customHeight="1" x14ac:dyDescent="0.25">
      <c r="B28" s="6"/>
      <c r="C28" s="6"/>
    </row>
    <row r="29" spans="1:3" ht="15.75" customHeight="1" x14ac:dyDescent="0.25">
      <c r="B29" s="6"/>
    </row>
  </sheetData>
  <mergeCells count="3">
    <mergeCell ref="A1:A2"/>
    <mergeCell ref="B1:B2"/>
    <mergeCell ref="C1:C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G6"/>
  <sheetViews>
    <sheetView zoomScaleNormal="100" workbookViewId="0">
      <selection activeCell="A2" sqref="A2:D6"/>
    </sheetView>
  </sheetViews>
  <sheetFormatPr defaultRowHeight="15" x14ac:dyDescent="0.25"/>
  <cols>
    <col min="1" max="1" width="12.7109375" customWidth="1"/>
    <col min="2" max="2" width="17.42578125" style="1" customWidth="1"/>
    <col min="3" max="6" width="7.5703125" style="1" customWidth="1"/>
    <col min="7" max="7" width="9.85546875" style="1" customWidth="1"/>
  </cols>
  <sheetData>
    <row r="2" spans="1:4" x14ac:dyDescent="0.25">
      <c r="A2" s="2"/>
      <c r="B2" s="2" t="s">
        <v>0</v>
      </c>
      <c r="C2" s="2" t="s">
        <v>1</v>
      </c>
      <c r="D2" s="2" t="s">
        <v>2</v>
      </c>
    </row>
    <row r="3" spans="1:4" x14ac:dyDescent="0.25">
      <c r="A3" s="2" t="s">
        <v>3</v>
      </c>
      <c r="B3" s="3">
        <v>107</v>
      </c>
      <c r="C3" s="3">
        <v>76</v>
      </c>
      <c r="D3" s="3">
        <v>268</v>
      </c>
    </row>
    <row r="4" spans="1:4" x14ac:dyDescent="0.25">
      <c r="A4" s="2" t="s">
        <v>4</v>
      </c>
      <c r="B4" s="3">
        <v>131</v>
      </c>
      <c r="C4" s="3">
        <v>70</v>
      </c>
      <c r="D4" s="3">
        <v>296</v>
      </c>
    </row>
    <row r="5" spans="1:4" x14ac:dyDescent="0.25">
      <c r="A5" s="2" t="s">
        <v>5</v>
      </c>
      <c r="B5" s="3">
        <v>158</v>
      </c>
      <c r="C5" s="3">
        <v>69</v>
      </c>
      <c r="D5" s="3">
        <v>339</v>
      </c>
    </row>
    <row r="6" spans="1:4" x14ac:dyDescent="0.25">
      <c r="A6" s="2" t="s">
        <v>6</v>
      </c>
      <c r="B6" s="3">
        <v>163</v>
      </c>
      <c r="C6" s="3">
        <v>75</v>
      </c>
      <c r="D6" s="3">
        <v>317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0CE5-B561-45AA-A419-9B742E091D96}">
  <sheetPr codeName="Sheet3"/>
  <dimension ref="A1:B4"/>
  <sheetViews>
    <sheetView workbookViewId="0">
      <selection activeCell="E21" sqref="E21"/>
    </sheetView>
  </sheetViews>
  <sheetFormatPr defaultRowHeight="15" x14ac:dyDescent="0.25"/>
  <cols>
    <col min="1" max="1" width="30.5703125" bestFit="1" customWidth="1"/>
    <col min="2" max="2" width="10.5703125" customWidth="1"/>
  </cols>
  <sheetData>
    <row r="1" spans="1:2" x14ac:dyDescent="0.25">
      <c r="A1" s="22" t="s">
        <v>33</v>
      </c>
      <c r="B1" s="23"/>
    </row>
    <row r="2" spans="1:2" x14ac:dyDescent="0.25">
      <c r="A2" s="8" t="s">
        <v>34</v>
      </c>
      <c r="B2" s="8" t="s">
        <v>35</v>
      </c>
    </row>
    <row r="3" spans="1:2" x14ac:dyDescent="0.25">
      <c r="A3" s="3" t="s">
        <v>36</v>
      </c>
      <c r="B3" s="3">
        <v>7</v>
      </c>
    </row>
    <row r="4" spans="1:2" x14ac:dyDescent="0.25">
      <c r="A4" s="3" t="s">
        <v>37</v>
      </c>
      <c r="B4" s="3">
        <v>26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00E7A-1CF1-46D3-822C-D3F7CED21097}">
  <sheetPr codeName="Sheet4"/>
  <dimension ref="A1:D13"/>
  <sheetViews>
    <sheetView zoomScale="90" zoomScaleNormal="90" workbookViewId="0">
      <selection activeCell="F15" sqref="F15"/>
    </sheetView>
  </sheetViews>
  <sheetFormatPr defaultRowHeight="15" x14ac:dyDescent="0.25"/>
  <cols>
    <col min="1" max="1" width="9.5703125" bestFit="1" customWidth="1"/>
    <col min="2" max="2" width="30.140625" customWidth="1"/>
    <col min="3" max="3" width="18.85546875" bestFit="1" customWidth="1"/>
    <col min="4" max="4" width="10.7109375" customWidth="1"/>
  </cols>
  <sheetData>
    <row r="1" spans="1:4" ht="30" customHeight="1" x14ac:dyDescent="0.25">
      <c r="A1" s="14" t="s">
        <v>38</v>
      </c>
      <c r="B1" s="15" t="s">
        <v>39</v>
      </c>
      <c r="C1" s="12" t="s">
        <v>61</v>
      </c>
      <c r="D1" s="2" t="s">
        <v>60</v>
      </c>
    </row>
    <row r="2" spans="1:4" ht="30" customHeight="1" x14ac:dyDescent="0.25">
      <c r="A2" s="9"/>
      <c r="B2" s="9"/>
      <c r="C2" s="9"/>
      <c r="D2" s="9">
        <v>0</v>
      </c>
    </row>
    <row r="3" spans="1:4" x14ac:dyDescent="0.25">
      <c r="A3" s="9" t="s">
        <v>40</v>
      </c>
      <c r="B3" s="10" t="s">
        <v>41</v>
      </c>
      <c r="C3" s="9">
        <v>8.4199999999999997E-2</v>
      </c>
      <c r="D3" s="13">
        <f>C3/$C$13</f>
        <v>0.40480769230769226</v>
      </c>
    </row>
    <row r="4" spans="1:4" ht="30" x14ac:dyDescent="0.25">
      <c r="A4" s="9" t="s">
        <v>42</v>
      </c>
      <c r="B4" s="10" t="s">
        <v>43</v>
      </c>
      <c r="C4" s="11">
        <v>7.0900000000000005E-2</v>
      </c>
      <c r="D4" s="13">
        <f>C4/$C$13+D3</f>
        <v>0.74567307692307683</v>
      </c>
    </row>
    <row r="5" spans="1:4" ht="30" x14ac:dyDescent="0.25">
      <c r="A5" s="9" t="s">
        <v>44</v>
      </c>
      <c r="B5" s="10" t="s">
        <v>45</v>
      </c>
      <c r="C5" s="11">
        <v>1.47E-2</v>
      </c>
      <c r="D5" s="13">
        <f t="shared" ref="D5:D12" si="0">C5/$C$13+D4</f>
        <v>0.81634615384615372</v>
      </c>
    </row>
    <row r="6" spans="1:4" ht="30" x14ac:dyDescent="0.25">
      <c r="A6" s="9" t="s">
        <v>46</v>
      </c>
      <c r="B6" s="10" t="s">
        <v>47</v>
      </c>
      <c r="C6" s="11">
        <v>1.43E-2</v>
      </c>
      <c r="D6" s="13">
        <f t="shared" si="0"/>
        <v>0.8850961538461537</v>
      </c>
    </row>
    <row r="7" spans="1:4" ht="30" x14ac:dyDescent="0.25">
      <c r="A7" s="9" t="s">
        <v>48</v>
      </c>
      <c r="B7" s="10" t="s">
        <v>49</v>
      </c>
      <c r="C7" s="11">
        <v>7.9000000000000008E-3</v>
      </c>
      <c r="D7" s="13">
        <f t="shared" si="0"/>
        <v>0.92307692307692291</v>
      </c>
    </row>
    <row r="8" spans="1:4" ht="30" x14ac:dyDescent="0.25">
      <c r="A8" s="9" t="s">
        <v>50</v>
      </c>
      <c r="B8" s="10" t="s">
        <v>51</v>
      </c>
      <c r="C8" s="11">
        <v>7.0000000000000001E-3</v>
      </c>
      <c r="D8" s="13">
        <f t="shared" si="0"/>
        <v>0.95673076923076905</v>
      </c>
    </row>
    <row r="9" spans="1:4" ht="30" x14ac:dyDescent="0.25">
      <c r="A9" s="9" t="s">
        <v>52</v>
      </c>
      <c r="B9" s="10" t="s">
        <v>53</v>
      </c>
      <c r="C9" s="9">
        <v>3.0000000000000001E-3</v>
      </c>
      <c r="D9" s="13">
        <f t="shared" si="0"/>
        <v>0.97115384615384592</v>
      </c>
    </row>
    <row r="10" spans="1:4" ht="16.5" x14ac:dyDescent="0.25">
      <c r="A10" s="9" t="s">
        <v>54</v>
      </c>
      <c r="B10" s="10" t="s">
        <v>55</v>
      </c>
      <c r="C10" s="11">
        <v>2.2000000000000001E-3</v>
      </c>
      <c r="D10" s="13">
        <f t="shared" si="0"/>
        <v>0.98173076923076896</v>
      </c>
    </row>
    <row r="11" spans="1:4" ht="16.5" x14ac:dyDescent="0.25">
      <c r="A11" s="9" t="s">
        <v>56</v>
      </c>
      <c r="B11" s="10" t="s">
        <v>57</v>
      </c>
      <c r="C11" s="11">
        <v>2E-3</v>
      </c>
      <c r="D11" s="13">
        <f t="shared" si="0"/>
        <v>0.99134615384615354</v>
      </c>
    </row>
    <row r="12" spans="1:4" ht="16.5" x14ac:dyDescent="0.25">
      <c r="A12" s="9" t="s">
        <v>58</v>
      </c>
      <c r="B12" s="10" t="s">
        <v>59</v>
      </c>
      <c r="C12" s="11">
        <v>1.8E-3</v>
      </c>
      <c r="D12" s="13">
        <f t="shared" si="0"/>
        <v>0.99999999999999967</v>
      </c>
    </row>
    <row r="13" spans="1:4" x14ac:dyDescent="0.25">
      <c r="C13" s="16">
        <f>SUM(C3:C12)</f>
        <v>0.20800000000000002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D2FAA-3D3D-4E15-949D-FF74C7A9519D}">
  <dimension ref="A1:P5"/>
  <sheetViews>
    <sheetView workbookViewId="0">
      <selection activeCell="D9" sqref="D9"/>
    </sheetView>
  </sheetViews>
  <sheetFormatPr defaultRowHeight="15" x14ac:dyDescent="0.25"/>
  <cols>
    <col min="1" max="1" width="15.42578125" customWidth="1"/>
    <col min="2" max="16" width="5.28515625" customWidth="1"/>
  </cols>
  <sheetData>
    <row r="1" spans="1:16" x14ac:dyDescent="0.25">
      <c r="A1" s="24"/>
      <c r="B1" s="25" t="s">
        <v>62</v>
      </c>
      <c r="C1" s="25" t="s">
        <v>63</v>
      </c>
      <c r="D1" s="25" t="s">
        <v>64</v>
      </c>
      <c r="E1" s="25" t="s">
        <v>65</v>
      </c>
      <c r="F1" s="25" t="s">
        <v>66</v>
      </c>
      <c r="G1" s="25" t="s">
        <v>67</v>
      </c>
      <c r="H1" s="25" t="s">
        <v>68</v>
      </c>
      <c r="I1" s="25" t="s">
        <v>69</v>
      </c>
      <c r="J1" s="25" t="s">
        <v>70</v>
      </c>
      <c r="K1" s="25" t="s">
        <v>71</v>
      </c>
      <c r="L1" s="25" t="s">
        <v>72</v>
      </c>
      <c r="M1" s="25" t="s">
        <v>73</v>
      </c>
      <c r="N1" s="25" t="s">
        <v>10</v>
      </c>
      <c r="O1" s="25" t="s">
        <v>11</v>
      </c>
      <c r="P1" s="25" t="s">
        <v>74</v>
      </c>
    </row>
    <row r="2" spans="1:16" ht="26.25" x14ac:dyDescent="0.25">
      <c r="A2" s="26" t="s">
        <v>75</v>
      </c>
      <c r="B2" s="27">
        <v>532</v>
      </c>
      <c r="C2" s="27">
        <v>493</v>
      </c>
      <c r="D2" s="27">
        <v>698</v>
      </c>
      <c r="E2" s="27">
        <v>971</v>
      </c>
      <c r="F2" s="27">
        <v>510</v>
      </c>
      <c r="G2" s="27">
        <v>604</v>
      </c>
      <c r="H2" s="27">
        <v>547</v>
      </c>
      <c r="I2" s="27">
        <v>786</v>
      </c>
      <c r="J2" s="27">
        <v>593</v>
      </c>
      <c r="K2" s="27">
        <v>681</v>
      </c>
      <c r="L2" s="27">
        <v>598</v>
      </c>
      <c r="M2" s="27">
        <v>661</v>
      </c>
      <c r="N2" s="27">
        <v>687</v>
      </c>
      <c r="O2" s="27">
        <v>507</v>
      </c>
      <c r="P2" s="27">
        <v>467</v>
      </c>
    </row>
    <row r="3" spans="1:16" x14ac:dyDescent="0.25">
      <c r="A3" s="26" t="s">
        <v>76</v>
      </c>
      <c r="B3" s="27">
        <v>678</v>
      </c>
      <c r="C3" s="27">
        <v>609</v>
      </c>
      <c r="D3" s="27">
        <v>820</v>
      </c>
      <c r="E3" s="27">
        <v>932</v>
      </c>
      <c r="F3" s="27">
        <v>737</v>
      </c>
      <c r="G3" s="27">
        <v>882</v>
      </c>
      <c r="H3" s="27">
        <v>670</v>
      </c>
      <c r="I3" s="27">
        <v>951</v>
      </c>
      <c r="J3" s="27">
        <v>855</v>
      </c>
      <c r="K3" s="27">
        <v>723</v>
      </c>
      <c r="L3" s="27">
        <v>775</v>
      </c>
      <c r="M3" s="27">
        <v>712</v>
      </c>
      <c r="N3" s="27">
        <v>644</v>
      </c>
      <c r="O3" s="27">
        <v>554</v>
      </c>
      <c r="P3" s="27"/>
    </row>
    <row r="4" spans="1:16" ht="25.5" x14ac:dyDescent="0.25">
      <c r="A4" s="28" t="s">
        <v>77</v>
      </c>
      <c r="B4" s="27">
        <v>560</v>
      </c>
      <c r="C4" s="27">
        <v>696</v>
      </c>
      <c r="D4" s="27">
        <v>680</v>
      </c>
      <c r="E4" s="27">
        <v>768</v>
      </c>
      <c r="F4" s="27">
        <v>746</v>
      </c>
      <c r="G4" s="27">
        <v>846</v>
      </c>
      <c r="H4" s="27">
        <v>880</v>
      </c>
      <c r="I4" s="27">
        <v>724</v>
      </c>
      <c r="J4" s="27">
        <v>1008</v>
      </c>
      <c r="K4" s="27">
        <v>866</v>
      </c>
      <c r="L4" s="27">
        <v>775</v>
      </c>
      <c r="M4" s="27">
        <v>745</v>
      </c>
      <c r="N4" s="27">
        <v>633</v>
      </c>
      <c r="O4" s="27">
        <v>754</v>
      </c>
      <c r="P4" s="27"/>
    </row>
    <row r="5" spans="1:16" ht="26.25" x14ac:dyDescent="0.25">
      <c r="A5" s="26" t="s">
        <v>78</v>
      </c>
      <c r="B5" s="27">
        <v>0</v>
      </c>
      <c r="C5" s="27">
        <v>0</v>
      </c>
      <c r="D5" s="27">
        <v>0</v>
      </c>
      <c r="E5" s="27">
        <v>2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190</v>
      </c>
      <c r="P5" s="27"/>
    </row>
  </sheetData>
  <conditionalFormatting sqref="B5:L5">
    <cfRule type="cellIs" dxfId="2" priority="12" stopIfTrue="1" operator="greaterThan">
      <formula>0</formula>
    </cfRule>
  </conditionalFormatting>
  <conditionalFormatting sqref="N5:P5">
    <cfRule type="cellIs" dxfId="1" priority="2" stopIfTrue="1" operator="greaterThan">
      <formula>0</formula>
    </cfRule>
  </conditionalFormatting>
  <conditionalFormatting sqref="M5">
    <cfRule type="cellIs" dxfId="0" priority="1" stopIfTrue="1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bieu-do-duong</vt:lpstr>
      <vt:lpstr>bieu-do-cot</vt:lpstr>
      <vt:lpstr>bieu-do-tron</vt:lpstr>
      <vt:lpstr>bieu-do-parento</vt:lpstr>
      <vt:lpstr>bieu-do-ket-hop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Đức Huy(Le Duc Huy)</dc:creator>
  <cp:lastModifiedBy>Lê Đức Huy(Le Duc Huy)</cp:lastModifiedBy>
  <dcterms:created xsi:type="dcterms:W3CDTF">2015-06-05T18:17:20Z</dcterms:created>
  <dcterms:modified xsi:type="dcterms:W3CDTF">2023-07-13T07:55:15Z</dcterms:modified>
</cp:coreProperties>
</file>